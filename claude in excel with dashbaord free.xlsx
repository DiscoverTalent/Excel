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rawfiles on github\"/>
    </mc:Choice>
  </mc:AlternateContent>
  <xr:revisionPtr revIDLastSave="0" documentId="8_{FF72B0C7-F37A-4385-952F-47A95C6E5233}" xr6:coauthVersionLast="47" xr6:coauthVersionMax="47" xr10:uidLastSave="{00000000-0000-0000-0000-000000000000}"/>
  <bookViews>
    <workbookView xWindow="-110" yWindow="-110" windowWidth="19420" windowHeight="11500" xr2:uid="{625EEEFE-C402-4476-9800-F81D29305996}"/>
  </bookViews>
  <sheets>
    <sheet name="Sheet1" sheetId="1" r:id="rId1"/>
    <sheet name="VBA 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<sst xmlns="http://schemas.openxmlformats.org/spreadsheetml/2006/main" count="154" uniqueCount="73">
  <si>
    <t>Shipment ID</t>
  </si>
  <si>
    <t>Customer Name</t>
  </si>
  <si>
    <t>Country</t>
  </si>
  <si>
    <t>Weight (Tons)</t>
  </si>
  <si>
    <t>Shipping Cost ($)</t>
  </si>
  <si>
    <t>Customs Fee ($)</t>
  </si>
  <si>
    <t>Shipment Status</t>
  </si>
  <si>
    <t>Release Time (Days)</t>
  </si>
  <si>
    <t>SHP-1001</t>
  </si>
  <si>
    <t>Al Noor Trading</t>
  </si>
  <si>
    <t>Egypt</t>
  </si>
  <si>
    <t>Released</t>
  </si>
  <si>
    <t>SHP-1002</t>
  </si>
  <si>
    <t>Delta Import</t>
  </si>
  <si>
    <t>UAE</t>
  </si>
  <si>
    <t>Customs Hold</t>
  </si>
  <si>
    <t>SHP-1003</t>
  </si>
  <si>
    <t>ABC Trading</t>
  </si>
  <si>
    <t>Saudi Arabia</t>
  </si>
  <si>
    <t>Inspection</t>
  </si>
  <si>
    <t>SHP-1004</t>
  </si>
  <si>
    <t>Royal Trade</t>
  </si>
  <si>
    <t>Germany</t>
  </si>
  <si>
    <t>SHP-1005</t>
  </si>
  <si>
    <t>Golden Star</t>
  </si>
  <si>
    <t>USA</t>
  </si>
  <si>
    <t>Pending</t>
  </si>
  <si>
    <t>SHP-1006</t>
  </si>
  <si>
    <t>Elite Import</t>
  </si>
  <si>
    <t>China</t>
  </si>
  <si>
    <t>SHP-1007</t>
  </si>
  <si>
    <t>United Cargo</t>
  </si>
  <si>
    <t>UK</t>
  </si>
  <si>
    <t>SHP-1008</t>
  </si>
  <si>
    <t>Smart Egypt</t>
  </si>
  <si>
    <t>SHP-1009</t>
  </si>
  <si>
    <t>Future Logistics</t>
  </si>
  <si>
    <t>SHP-1010</t>
  </si>
  <si>
    <t>Nile Group</t>
  </si>
  <si>
    <t>SHP-1011</t>
  </si>
  <si>
    <t>SHP-1012</t>
  </si>
  <si>
    <t>SHP-1013</t>
  </si>
  <si>
    <t>SHP-1014</t>
  </si>
  <si>
    <t>SHP-1015</t>
  </si>
  <si>
    <t>SHP-1016</t>
  </si>
  <si>
    <t>SHP-1017</t>
  </si>
  <si>
    <t>SHP-1018</t>
  </si>
  <si>
    <t>SHP-1019</t>
  </si>
  <si>
    <t>SHP-1020</t>
  </si>
  <si>
    <t>SHP-1021</t>
  </si>
  <si>
    <t>SHP-1022</t>
  </si>
  <si>
    <t>SHP-1023</t>
  </si>
  <si>
    <t>SHP-1024</t>
  </si>
  <si>
    <t>SHP-1025</t>
  </si>
  <si>
    <t>SHP-1026</t>
  </si>
  <si>
    <t>SHP-1027</t>
  </si>
  <si>
    <t>SHP-1028</t>
  </si>
  <si>
    <t>SHP-1029</t>
  </si>
  <si>
    <t>SHP-1030</t>
  </si>
  <si>
    <t>Shipment &amp; Customs Analytics Dashboard</t>
  </si>
  <si>
    <t>TOTAL SHIPMENTS</t>
  </si>
  <si>
    <t>TOTAL WEIGHT</t>
  </si>
  <si>
    <t>2,480.0 Tons</t>
  </si>
  <si>
    <t>TOTAL SHIPPING COST</t>
  </si>
  <si>
    <t>TOTAL CUSTOMS FEES</t>
  </si>
  <si>
    <t>AVG RELEASE TIME</t>
  </si>
  <si>
    <t>8.4 Days</t>
  </si>
  <si>
    <t>CUSTOMS HOLDS</t>
  </si>
  <si>
    <t>Shipments</t>
  </si>
  <si>
    <t>ShippingCost</t>
  </si>
  <si>
    <t>AvgReleaseTime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</si>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</sst>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68" formatCode="&quot;₹&quot;\ #,##0.00"/>
  </numFmts>
  <fonts count="9" x14ac:knownFonts="1">
    <font>
      <sz val="11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8"/>
      <color rgb="FF2980B9"/>
      <name val="Aptos Narrow"/>
      <family val="2"/>
      <scheme val="minor"/>
    </font>
    <font>
      <b/>
      <sz val="18"/>
      <color rgb="FF27AE60"/>
      <name val="Aptos Narrow"/>
      <family val="2"/>
      <scheme val="minor"/>
    </font>
    <font>
      <b/>
      <sz val="18"/>
      <color rgb="FFE67E22"/>
      <name val="Aptos Narrow"/>
      <family val="2"/>
      <scheme val="minor"/>
    </font>
    <font>
      <b/>
      <sz val="18"/>
      <color rgb="FF9B59B6"/>
      <name val="Aptos Narrow"/>
      <family val="2"/>
      <scheme val="minor"/>
    </font>
    <font>
      <b/>
      <sz val="18"/>
      <color rgb="FF34495E"/>
      <name val="Aptos Narrow"/>
      <family val="2"/>
      <scheme val="minor"/>
    </font>
    <font>
      <b/>
      <sz val="18"/>
      <color rgb="FFC0392B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335C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C0392B"/>
        <bgColor indexed="64"/>
      </patternFill>
    </fill>
  </fills>
  <borders count="7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  <diagonal/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34495E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18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6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6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F022D8-4B0D-4689-88BA-910033165A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Shipments by Country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Shipments by Country</c:v>
          </c:tx>
          <c:invertIfNegative val="0"/>
          <c:cat>
            <c:strRef>
              <c:f>'VBA Dashboard'!$U$2:$U$8</c:f>
              <c:strCache>
                <c:ptCount val="7"/>
                <c:pt idx="0">
                  <c:v>Egypt</c:v>
                </c:pt>
                <c:pt idx="1">
                  <c:v>UAE</c:v>
                </c:pt>
                <c:pt idx="2">
                  <c:v>Saudi Arabia</c:v>
                </c:pt>
                <c:pt idx="3">
                  <c:v>Germany</c:v>
                </c:pt>
                <c:pt idx="4">
                  <c:v>USA</c:v>
                </c:pt>
                <c:pt idx="5">
                  <c:v>China</c:v>
                </c:pt>
                <c:pt idx="6">
                  <c:v>UK</c:v>
                </c:pt>
              </c:strCache>
            </c:strRef>
          </c:cat>
          <c:val>
            <c:numRef>
              <c:f>'VBA Dashboard'!$V$2:$V$8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C-441F-AA77-99E6F0C0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399183"/>
        <c:axId val="256475791"/>
      </c:barChart>
      <c:catAx>
        <c:axId val="11039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56475791"/>
        <c:crosses val="autoZero"/>
        <c:auto val="1"/>
        <c:lblAlgn val="ctr"/>
        <c:lblOffset val="100"/>
        <c:noMultiLvlLbl val="0"/>
      </c:catAx>
      <c:valAx>
        <c:axId val="2564757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0399183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Shipment Status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Shipment Status Distribution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'VBA Dashboard'!$Z$2:$Z$5</c:f>
              <c:strCache>
                <c:ptCount val="4"/>
                <c:pt idx="0">
                  <c:v>Released</c:v>
                </c:pt>
                <c:pt idx="1">
                  <c:v>Customs Hold</c:v>
                </c:pt>
                <c:pt idx="2">
                  <c:v>Inspection</c:v>
                </c:pt>
                <c:pt idx="3">
                  <c:v>Pending</c:v>
                </c:pt>
              </c:strCache>
            </c:strRef>
          </c:cat>
          <c:val>
            <c:numRef>
              <c:f>'VBA Dashboard'!$AA$2:$AA$5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2-4B1F-A996-3EE947BF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Shipping Cost by Country ($)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Shipping Cost by Country ($)</c:v>
          </c:tx>
          <c:invertIfNegative val="0"/>
          <c:cat>
            <c:strRef>
              <c:f>'VBA Dashboard'!$U$2:$U$8</c:f>
              <c:strCache>
                <c:ptCount val="7"/>
                <c:pt idx="0">
                  <c:v>Egypt</c:v>
                </c:pt>
                <c:pt idx="1">
                  <c:v>UAE</c:v>
                </c:pt>
                <c:pt idx="2">
                  <c:v>Saudi Arabia</c:v>
                </c:pt>
                <c:pt idx="3">
                  <c:v>Germany</c:v>
                </c:pt>
                <c:pt idx="4">
                  <c:v>USA</c:v>
                </c:pt>
                <c:pt idx="5">
                  <c:v>China</c:v>
                </c:pt>
                <c:pt idx="6">
                  <c:v>UK</c:v>
                </c:pt>
              </c:strCache>
            </c:strRef>
          </c:cat>
          <c:val>
            <c:numRef>
              <c:f>'VBA Dashboard'!$W$2:$W$8</c:f>
              <c:numCache>
                <c:formatCode>General</c:formatCode>
                <c:ptCount val="7"/>
                <c:pt idx="0">
                  <c:v>73500</c:v>
                </c:pt>
                <c:pt idx="1">
                  <c:v>112500</c:v>
                </c:pt>
                <c:pt idx="2">
                  <c:v>63500</c:v>
                </c:pt>
                <c:pt idx="3">
                  <c:v>173000</c:v>
                </c:pt>
                <c:pt idx="4">
                  <c:v>126000</c:v>
                </c:pt>
                <c:pt idx="5">
                  <c:v>94500</c:v>
                </c:pt>
                <c:pt idx="6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A-4775-AB78-9AF85A50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4463"/>
        <c:axId val="256489231"/>
      </c:barChart>
      <c:catAx>
        <c:axId val="15272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56489231"/>
        <c:crosses val="autoZero"/>
        <c:auto val="1"/>
        <c:lblAlgn val="ctr"/>
        <c:lblOffset val="100"/>
        <c:noMultiLvlLbl val="0"/>
      </c:catAx>
      <c:valAx>
        <c:axId val="2564892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52724463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Avg Release Time by Country (Days)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Release Time by Country (Days)</c:v>
          </c:tx>
          <c:invertIfNegative val="0"/>
          <c:cat>
            <c:strRef>
              <c:f>'VBA Dashboard'!$U$2:$U$8</c:f>
              <c:strCache>
                <c:ptCount val="7"/>
                <c:pt idx="0">
                  <c:v>Egypt</c:v>
                </c:pt>
                <c:pt idx="1">
                  <c:v>UAE</c:v>
                </c:pt>
                <c:pt idx="2">
                  <c:v>Saudi Arabia</c:v>
                </c:pt>
                <c:pt idx="3">
                  <c:v>Germany</c:v>
                </c:pt>
                <c:pt idx="4">
                  <c:v>USA</c:v>
                </c:pt>
                <c:pt idx="5">
                  <c:v>China</c:v>
                </c:pt>
                <c:pt idx="6">
                  <c:v>UK</c:v>
                </c:pt>
              </c:strCache>
            </c:strRef>
          </c:cat>
          <c:val>
            <c:numRef>
              <c:f>'VBA Dashboard'!$X$2:$X$8</c:f>
              <c:numCache>
                <c:formatCode>General</c:formatCode>
                <c:ptCount val="7"/>
                <c:pt idx="0">
                  <c:v>9</c:v>
                </c:pt>
                <c:pt idx="1">
                  <c:v>9.5</c:v>
                </c:pt>
                <c:pt idx="2">
                  <c:v>6.25</c:v>
                </c:pt>
                <c:pt idx="3">
                  <c:v>10.199999999999999</c:v>
                </c:pt>
                <c:pt idx="4">
                  <c:v>11.75</c:v>
                </c:pt>
                <c:pt idx="5">
                  <c:v>4.25</c:v>
                </c:pt>
                <c:pt idx="6">
                  <c:v>6.333333333333333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5-4AA4-A163-560135A82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636431"/>
        <c:axId val="256519951"/>
      </c:barChart>
      <c:catAx>
        <c:axId val="1866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56519951"/>
        <c:crosses val="autoZero"/>
        <c:auto val="1"/>
        <c:lblAlgn val="ctr"/>
        <c:lblOffset val="100"/>
        <c:noMultiLvlLbl val="0"/>
      </c:catAx>
      <c:valAx>
        <c:axId val="2565199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86636431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438728</xdr:colOff>
      <xdr:row>1</xdr:row>
      <xdr:rowOff>138545</xdr:rowOff>
    </xdr:from>
    <xdr:to>
      <xdr:col>17</xdr:col>
      <xdr:colOff>258619</xdr:colOff>
      <xdr:row>2</xdr:row>
      <xdr:rowOff>265545</xdr:rowOff>
    </xdr:to>
    <xdr:sp macro="RefreshShipmentDashboard" textlink="">
      <xdr:nvSpPr>
        <xdr:cNvPr id="2" name="btnRefreshDashboard">
          <a:extLst>
            <a:ext uri="{FF2B5EF4-FFF2-40B4-BE49-F238E27FC236}">
              <a16:creationId xmlns:a16="http://schemas.microsoft.com/office/drawing/2014/main" id="{9D8299F1-AC94-5E17-3E19-6B4E189AEE78}"/>
            </a:ext>
          </a:extLst>
        </xdr:cNvPr>
        <xdr:cNvSpPr/>
      </xdr:nvSpPr>
      <xdr:spPr>
        <a:xfrm>
          <a:off x="8578273" y="323272"/>
          <a:ext cx="1655619" cy="508000"/>
        </a:xfrm>
        <a:prstGeom prst="roundRect">
          <a:avLst/>
        </a:prstGeom>
        <a:solidFill>
          <a:srgbClr val="27AE6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IN" sz="1100" b="1">
              <a:solidFill>
                <a:srgbClr val="FFFFFF"/>
              </a:solidFill>
            </a:rPr>
            <a:t>REFRESH DASHBOARD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7</xdr:col>
      <xdr:colOff>533400</xdr:colOff>
      <xdr:row>28</xdr:row>
      <xdr:rowOff>158750</xdr:rowOff>
    </xdr:to>
    <xdr:graphicFrame macro="">
      <xdr:nvGraphicFramePr>
        <xdr:cNvPr id="3" name="chShipCountry">
          <a:extLst>
            <a:ext uri="{FF2B5EF4-FFF2-40B4-BE49-F238E27FC236}">
              <a16:creationId xmlns:a16="http://schemas.microsoft.com/office/drawing/2014/main" id="{E063862B-11DD-FE10-20AB-F972309CF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533400</xdr:colOff>
      <xdr:row>28</xdr:row>
      <xdr:rowOff>158750</xdr:rowOff>
    </xdr:to>
    <xdr:graphicFrame macro="">
      <xdr:nvGraphicFramePr>
        <xdr:cNvPr id="4" name="chStatus">
          <a:extLst>
            <a:ext uri="{FF2B5EF4-FFF2-40B4-BE49-F238E27FC236}">
              <a16:creationId xmlns:a16="http://schemas.microsoft.com/office/drawing/2014/main" id="{41A9E3BD-4F46-4F7D-BB55-D77675AE5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7</xdr:col>
      <xdr:colOff>533400</xdr:colOff>
      <xdr:row>44</xdr:row>
      <xdr:rowOff>158750</xdr:rowOff>
    </xdr:to>
    <xdr:graphicFrame macro="">
      <xdr:nvGraphicFramePr>
        <xdr:cNvPr id="5" name="chCostCountry">
          <a:extLst>
            <a:ext uri="{FF2B5EF4-FFF2-40B4-BE49-F238E27FC236}">
              <a16:creationId xmlns:a16="http://schemas.microsoft.com/office/drawing/2014/main" id="{5E3FCAC6-21C2-7C1C-5F90-325D856C7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533400</xdr:colOff>
      <xdr:row>44</xdr:row>
      <xdr:rowOff>158750</xdr:rowOff>
    </xdr:to>
    <xdr:graphicFrame macro="">
      <xdr:nvGraphicFramePr>
        <xdr:cNvPr id="6" name="chReleaseCountry">
          <a:extLst>
            <a:ext uri="{FF2B5EF4-FFF2-40B4-BE49-F238E27FC236}">
              <a16:creationId xmlns:a16="http://schemas.microsoft.com/office/drawing/2014/main" id="{6E6143FC-678A-485E-9A38-859D5CE9E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734B-D2DF-4AD4-8CD2-472DDF35A997}">
  <sheetPr codeName="Sheet1"/>
  <dimension ref="A1:H31"/>
  <sheetViews>
    <sheetView tabSelected="1" workbookViewId="0">
      <selection activeCell="D10" sqref="D10"/>
    </sheetView>
  </sheetViews>
  <sheetFormatPr defaultRowHeight="14.5" x14ac:dyDescent="0.35"/>
  <cols>
    <col min="1" max="1" width="10.54296875" bestFit="1" customWidth="1"/>
    <col min="2" max="2" width="14.08984375" bestFit="1" customWidth="1"/>
    <col min="3" max="3" width="10.81640625" bestFit="1" customWidth="1"/>
    <col min="4" max="4" width="11.90625" bestFit="1" customWidth="1"/>
    <col min="5" max="5" width="14.54296875" style="1" bestFit="1" customWidth="1"/>
    <col min="6" max="6" width="14.1796875" style="1" bestFit="1" customWidth="1"/>
    <col min="7" max="7" width="14.08984375" bestFit="1" customWidth="1"/>
    <col min="8" max="8" width="17.36328125" style="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45</v>
      </c>
      <c r="E2" s="1">
        <v>12500</v>
      </c>
      <c r="F2" s="1">
        <v>25000</v>
      </c>
      <c r="G2" t="s">
        <v>11</v>
      </c>
      <c r="H2" s="2">
        <v>5</v>
      </c>
    </row>
    <row r="3" spans="1:8" x14ac:dyDescent="0.35">
      <c r="A3" t="s">
        <v>12</v>
      </c>
      <c r="B3" t="s">
        <v>13</v>
      </c>
      <c r="C3" t="s">
        <v>14</v>
      </c>
      <c r="D3">
        <v>80</v>
      </c>
      <c r="E3" s="1">
        <v>22000</v>
      </c>
      <c r="F3" s="1">
        <v>48000</v>
      </c>
      <c r="G3" t="s">
        <v>15</v>
      </c>
      <c r="H3" s="2">
        <v>12</v>
      </c>
    </row>
    <row r="4" spans="1:8" x14ac:dyDescent="0.35">
      <c r="A4" t="s">
        <v>16</v>
      </c>
      <c r="B4" t="s">
        <v>17</v>
      </c>
      <c r="C4" t="s">
        <v>18</v>
      </c>
      <c r="D4">
        <v>30</v>
      </c>
      <c r="E4" s="1">
        <v>9000</v>
      </c>
      <c r="F4" s="1">
        <v>18500</v>
      </c>
      <c r="G4" t="s">
        <v>19</v>
      </c>
      <c r="H4" s="2">
        <v>9</v>
      </c>
    </row>
    <row r="5" spans="1:8" x14ac:dyDescent="0.35">
      <c r="A5" t="s">
        <v>20</v>
      </c>
      <c r="B5" t="s">
        <v>21</v>
      </c>
      <c r="C5" t="s">
        <v>22</v>
      </c>
      <c r="D5">
        <v>110</v>
      </c>
      <c r="E5" s="1">
        <v>35000</v>
      </c>
      <c r="F5" s="1">
        <v>72000</v>
      </c>
      <c r="G5" t="s">
        <v>11</v>
      </c>
      <c r="H5" s="2">
        <v>6</v>
      </c>
    </row>
    <row r="6" spans="1:8" x14ac:dyDescent="0.35">
      <c r="A6" t="s">
        <v>23</v>
      </c>
      <c r="B6" t="s">
        <v>24</v>
      </c>
      <c r="C6" t="s">
        <v>25</v>
      </c>
      <c r="D6">
        <v>65</v>
      </c>
      <c r="E6" s="1">
        <v>28000</v>
      </c>
      <c r="F6" s="1">
        <v>55000</v>
      </c>
      <c r="G6" t="s">
        <v>26</v>
      </c>
      <c r="H6" s="2">
        <v>14</v>
      </c>
    </row>
    <row r="7" spans="1:8" x14ac:dyDescent="0.35">
      <c r="A7" t="s">
        <v>27</v>
      </c>
      <c r="B7" t="s">
        <v>28</v>
      </c>
      <c r="C7" t="s">
        <v>29</v>
      </c>
      <c r="D7">
        <v>95</v>
      </c>
      <c r="E7" s="1">
        <v>21000</v>
      </c>
      <c r="F7" s="1">
        <v>41000</v>
      </c>
      <c r="G7" t="s">
        <v>11</v>
      </c>
      <c r="H7" s="2">
        <v>4</v>
      </c>
    </row>
    <row r="8" spans="1:8" x14ac:dyDescent="0.35">
      <c r="A8" t="s">
        <v>30</v>
      </c>
      <c r="B8" t="s">
        <v>31</v>
      </c>
      <c r="C8" t="s">
        <v>32</v>
      </c>
      <c r="D8">
        <v>50</v>
      </c>
      <c r="E8" s="1">
        <v>18500</v>
      </c>
      <c r="F8" s="1">
        <v>36000</v>
      </c>
      <c r="G8" t="s">
        <v>11</v>
      </c>
      <c r="H8" s="2">
        <v>7</v>
      </c>
    </row>
    <row r="9" spans="1:8" x14ac:dyDescent="0.35">
      <c r="A9" t="s">
        <v>33</v>
      </c>
      <c r="B9" t="s">
        <v>34</v>
      </c>
      <c r="C9" t="s">
        <v>10</v>
      </c>
      <c r="D9">
        <v>70</v>
      </c>
      <c r="E9" s="1">
        <v>15000</v>
      </c>
      <c r="F9" s="1">
        <v>31000</v>
      </c>
      <c r="G9" t="s">
        <v>15</v>
      </c>
      <c r="H9" s="2">
        <v>15</v>
      </c>
    </row>
    <row r="10" spans="1:8" x14ac:dyDescent="0.35">
      <c r="A10" t="s">
        <v>35</v>
      </c>
      <c r="B10" t="s">
        <v>36</v>
      </c>
      <c r="C10" t="s">
        <v>14</v>
      </c>
      <c r="D10">
        <v>120</v>
      </c>
      <c r="E10" s="1">
        <v>32000</v>
      </c>
      <c r="F10" s="1">
        <v>68000</v>
      </c>
      <c r="G10" t="s">
        <v>11</v>
      </c>
      <c r="H10" s="2">
        <v>8</v>
      </c>
    </row>
    <row r="11" spans="1:8" x14ac:dyDescent="0.35">
      <c r="A11" t="s">
        <v>37</v>
      </c>
      <c r="B11" t="s">
        <v>38</v>
      </c>
      <c r="C11" t="s">
        <v>10</v>
      </c>
      <c r="D11">
        <v>40</v>
      </c>
      <c r="E11" s="1">
        <v>11000</v>
      </c>
      <c r="F11" s="1">
        <v>22500</v>
      </c>
      <c r="G11" t="s">
        <v>26</v>
      </c>
      <c r="H11" s="2">
        <v>11</v>
      </c>
    </row>
    <row r="12" spans="1:8" x14ac:dyDescent="0.35">
      <c r="A12" t="s">
        <v>39</v>
      </c>
      <c r="B12" t="s">
        <v>9</v>
      </c>
      <c r="C12" t="s">
        <v>18</v>
      </c>
      <c r="D12">
        <v>85</v>
      </c>
      <c r="E12" s="1">
        <v>24000</v>
      </c>
      <c r="F12" s="1">
        <v>50000</v>
      </c>
      <c r="G12" t="s">
        <v>11</v>
      </c>
      <c r="H12" s="2">
        <v>6</v>
      </c>
    </row>
    <row r="13" spans="1:8" x14ac:dyDescent="0.35">
      <c r="A13" t="s">
        <v>40</v>
      </c>
      <c r="B13" t="s">
        <v>13</v>
      </c>
      <c r="C13" t="s">
        <v>22</v>
      </c>
      <c r="D13">
        <v>150</v>
      </c>
      <c r="E13" s="1">
        <v>42000</v>
      </c>
      <c r="F13" s="1">
        <v>88000</v>
      </c>
      <c r="G13" t="s">
        <v>19</v>
      </c>
      <c r="H13" s="2">
        <v>10</v>
      </c>
    </row>
    <row r="14" spans="1:8" x14ac:dyDescent="0.35">
      <c r="A14" t="s">
        <v>41</v>
      </c>
      <c r="B14" t="s">
        <v>17</v>
      </c>
      <c r="C14" t="s">
        <v>10</v>
      </c>
      <c r="D14">
        <v>25</v>
      </c>
      <c r="E14" s="1">
        <v>8000</v>
      </c>
      <c r="F14" s="1">
        <v>16000</v>
      </c>
      <c r="G14" t="s">
        <v>11</v>
      </c>
      <c r="H14" s="2">
        <v>3</v>
      </c>
    </row>
    <row r="15" spans="1:8" x14ac:dyDescent="0.35">
      <c r="A15" t="s">
        <v>42</v>
      </c>
      <c r="B15" t="s">
        <v>21</v>
      </c>
      <c r="C15" t="s">
        <v>25</v>
      </c>
      <c r="D15">
        <v>90</v>
      </c>
      <c r="E15" s="1">
        <v>31000</v>
      </c>
      <c r="F15" s="1">
        <v>62000</v>
      </c>
      <c r="G15" t="s">
        <v>15</v>
      </c>
      <c r="H15" s="2">
        <v>13</v>
      </c>
    </row>
    <row r="16" spans="1:8" x14ac:dyDescent="0.35">
      <c r="A16" t="s">
        <v>43</v>
      </c>
      <c r="B16" t="s">
        <v>24</v>
      </c>
      <c r="C16" t="s">
        <v>29</v>
      </c>
      <c r="D16">
        <v>105</v>
      </c>
      <c r="E16" s="1">
        <v>23000</v>
      </c>
      <c r="F16" s="1">
        <v>46000</v>
      </c>
      <c r="G16" t="s">
        <v>11</v>
      </c>
      <c r="H16" s="2">
        <v>5</v>
      </c>
    </row>
    <row r="17" spans="1:8" x14ac:dyDescent="0.35">
      <c r="A17" t="s">
        <v>44</v>
      </c>
      <c r="B17" t="s">
        <v>28</v>
      </c>
      <c r="C17" t="s">
        <v>32</v>
      </c>
      <c r="D17">
        <v>60</v>
      </c>
      <c r="E17" s="1">
        <v>19000</v>
      </c>
      <c r="F17" s="1">
        <v>38000</v>
      </c>
      <c r="G17" t="s">
        <v>11</v>
      </c>
      <c r="H17" s="2">
        <v>6</v>
      </c>
    </row>
    <row r="18" spans="1:8" x14ac:dyDescent="0.35">
      <c r="A18" t="s">
        <v>45</v>
      </c>
      <c r="B18" t="s">
        <v>31</v>
      </c>
      <c r="C18" t="s">
        <v>14</v>
      </c>
      <c r="D18">
        <v>75</v>
      </c>
      <c r="E18" s="1">
        <v>20500</v>
      </c>
      <c r="F18" s="1">
        <v>43000</v>
      </c>
      <c r="G18" t="s">
        <v>26</v>
      </c>
      <c r="H18" s="2">
        <v>10</v>
      </c>
    </row>
    <row r="19" spans="1:8" x14ac:dyDescent="0.35">
      <c r="A19" t="s">
        <v>46</v>
      </c>
      <c r="B19" t="s">
        <v>34</v>
      </c>
      <c r="C19" t="s">
        <v>22</v>
      </c>
      <c r="D19">
        <v>115</v>
      </c>
      <c r="E19" s="1">
        <v>36000</v>
      </c>
      <c r="F19" s="1">
        <v>75000</v>
      </c>
      <c r="G19" t="s">
        <v>11</v>
      </c>
      <c r="H19" s="2">
        <v>7</v>
      </c>
    </row>
    <row r="20" spans="1:8" x14ac:dyDescent="0.35">
      <c r="A20" t="s">
        <v>47</v>
      </c>
      <c r="B20" t="s">
        <v>36</v>
      </c>
      <c r="C20" t="s">
        <v>18</v>
      </c>
      <c r="D20">
        <v>55</v>
      </c>
      <c r="E20" s="1">
        <v>16000</v>
      </c>
      <c r="F20" s="1">
        <v>33000</v>
      </c>
      <c r="G20" t="s">
        <v>11</v>
      </c>
      <c r="H20" s="2">
        <v>5</v>
      </c>
    </row>
    <row r="21" spans="1:8" x14ac:dyDescent="0.35">
      <c r="A21" t="s">
        <v>48</v>
      </c>
      <c r="B21" t="s">
        <v>38</v>
      </c>
      <c r="C21" t="s">
        <v>25</v>
      </c>
      <c r="D21">
        <v>100</v>
      </c>
      <c r="E21" s="1">
        <v>33000</v>
      </c>
      <c r="F21" s="1">
        <v>67000</v>
      </c>
      <c r="G21" t="s">
        <v>19</v>
      </c>
      <c r="H21" s="2">
        <v>9</v>
      </c>
    </row>
    <row r="22" spans="1:8" x14ac:dyDescent="0.35">
      <c r="A22" t="s">
        <v>49</v>
      </c>
      <c r="B22" t="s">
        <v>9</v>
      </c>
      <c r="C22" t="s">
        <v>29</v>
      </c>
      <c r="D22">
        <v>130</v>
      </c>
      <c r="E22" s="1">
        <v>29000</v>
      </c>
      <c r="F22" s="1">
        <v>58000</v>
      </c>
      <c r="G22" t="s">
        <v>11</v>
      </c>
      <c r="H22" s="2">
        <v>4</v>
      </c>
    </row>
    <row r="23" spans="1:8" x14ac:dyDescent="0.35">
      <c r="A23" t="s">
        <v>50</v>
      </c>
      <c r="B23" t="s">
        <v>13</v>
      </c>
      <c r="C23" t="s">
        <v>10</v>
      </c>
      <c r="D23">
        <v>35</v>
      </c>
      <c r="E23" s="1">
        <v>9500</v>
      </c>
      <c r="F23" s="1">
        <v>19000</v>
      </c>
      <c r="G23" t="s">
        <v>15</v>
      </c>
      <c r="H23" s="2">
        <v>14</v>
      </c>
    </row>
    <row r="24" spans="1:8" x14ac:dyDescent="0.35">
      <c r="A24" t="s">
        <v>51</v>
      </c>
      <c r="B24" t="s">
        <v>17</v>
      </c>
      <c r="C24" t="s">
        <v>32</v>
      </c>
      <c r="D24">
        <v>80</v>
      </c>
      <c r="E24" s="1">
        <v>22500</v>
      </c>
      <c r="F24" s="1">
        <v>45000</v>
      </c>
      <c r="G24" t="s">
        <v>11</v>
      </c>
      <c r="H24" s="2">
        <v>6</v>
      </c>
    </row>
    <row r="25" spans="1:8" x14ac:dyDescent="0.35">
      <c r="A25" t="s">
        <v>52</v>
      </c>
      <c r="B25" t="s">
        <v>21</v>
      </c>
      <c r="C25" t="s">
        <v>14</v>
      </c>
      <c r="D25">
        <v>140</v>
      </c>
      <c r="E25" s="1">
        <v>38000</v>
      </c>
      <c r="F25" s="1">
        <v>79000</v>
      </c>
      <c r="G25" t="s">
        <v>11</v>
      </c>
      <c r="H25" s="2">
        <v>8</v>
      </c>
    </row>
    <row r="26" spans="1:8" x14ac:dyDescent="0.35">
      <c r="A26" t="s">
        <v>53</v>
      </c>
      <c r="B26" t="s">
        <v>24</v>
      </c>
      <c r="C26" t="s">
        <v>22</v>
      </c>
      <c r="D26">
        <v>65</v>
      </c>
      <c r="E26" s="1">
        <v>21000</v>
      </c>
      <c r="F26" s="1">
        <v>42000</v>
      </c>
      <c r="G26" t="s">
        <v>26</v>
      </c>
      <c r="H26" s="2">
        <v>12</v>
      </c>
    </row>
    <row r="27" spans="1:8" x14ac:dyDescent="0.35">
      <c r="A27" t="s">
        <v>54</v>
      </c>
      <c r="B27" t="s">
        <v>28</v>
      </c>
      <c r="C27" t="s">
        <v>18</v>
      </c>
      <c r="D27">
        <v>50</v>
      </c>
      <c r="E27" s="1">
        <v>14500</v>
      </c>
      <c r="F27" s="1">
        <v>29000</v>
      </c>
      <c r="G27" t="s">
        <v>11</v>
      </c>
      <c r="H27" s="2">
        <v>5</v>
      </c>
    </row>
    <row r="28" spans="1:8" x14ac:dyDescent="0.35">
      <c r="A28" t="s">
        <v>55</v>
      </c>
      <c r="B28" t="s">
        <v>31</v>
      </c>
      <c r="C28" t="s">
        <v>10</v>
      </c>
      <c r="D28">
        <v>85</v>
      </c>
      <c r="E28" s="1">
        <v>17500</v>
      </c>
      <c r="F28" s="1">
        <v>37000</v>
      </c>
      <c r="G28" t="s">
        <v>11</v>
      </c>
      <c r="H28" s="2">
        <v>6</v>
      </c>
    </row>
    <row r="29" spans="1:8" x14ac:dyDescent="0.35">
      <c r="A29" t="s">
        <v>56</v>
      </c>
      <c r="B29" t="s">
        <v>34</v>
      </c>
      <c r="C29" t="s">
        <v>25</v>
      </c>
      <c r="D29">
        <v>110</v>
      </c>
      <c r="E29" s="1">
        <v>34000</v>
      </c>
      <c r="F29" s="1">
        <v>70000</v>
      </c>
      <c r="G29" t="s">
        <v>19</v>
      </c>
      <c r="H29" s="2">
        <v>11</v>
      </c>
    </row>
    <row r="30" spans="1:8" x14ac:dyDescent="0.35">
      <c r="A30" t="s">
        <v>57</v>
      </c>
      <c r="B30" t="s">
        <v>36</v>
      </c>
      <c r="C30" t="s">
        <v>29</v>
      </c>
      <c r="D30">
        <v>95</v>
      </c>
      <c r="E30" s="1">
        <v>21500</v>
      </c>
      <c r="F30" s="1">
        <v>44000</v>
      </c>
      <c r="G30" t="s">
        <v>11</v>
      </c>
      <c r="H30" s="2">
        <v>4</v>
      </c>
    </row>
    <row r="31" spans="1:8" x14ac:dyDescent="0.35">
      <c r="A31" t="s">
        <v>58</v>
      </c>
      <c r="B31" t="s">
        <v>38</v>
      </c>
      <c r="C31" t="s">
        <v>22</v>
      </c>
      <c r="D31">
        <v>125</v>
      </c>
      <c r="E31" s="1">
        <v>39000</v>
      </c>
      <c r="F31" s="1">
        <v>81000</v>
      </c>
      <c r="G31" t="s">
        <v>15</v>
      </c>
      <c r="H31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F76C-59E5-4F97-B9BF-9F357F978D87}">
  <sheetPr codeName="Sheet3">
    <tabColor rgb="FF15335C"/>
  </sheetPr>
  <dimension ref="B1:AA12"/>
  <sheetViews>
    <sheetView showGridLines="0" zoomScale="55" zoomScaleNormal="55" workbookViewId="0">
      <selection activeCell="R9" sqref="R9"/>
    </sheetView>
  </sheetViews>
  <sheetFormatPr defaultRowHeight="14.5" x14ac:dyDescent="0.35"/>
  <cols>
    <col min="1" max="1" width="2.6328125" customWidth="1"/>
    <col min="21" max="27" width="0" hidden="1" customWidth="1"/>
  </cols>
  <sheetData>
    <row r="1" spans="2:27" x14ac:dyDescent="0.35">
      <c r="U1" t="s">
        <v>2</v>
      </c>
      <c r="V1" t="s">
        <v>68</v>
      </c>
      <c r="W1" t="s">
        <v>69</v>
      </c>
      <c r="X1" t="s">
        <v>70</v>
      </c>
      <c r="Z1" t="s">
        <v>71</v>
      </c>
      <c r="AA1" t="s">
        <v>72</v>
      </c>
    </row>
    <row r="2" spans="2:27" ht="30" customHeight="1" x14ac:dyDescent="0.35"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U2" t="s">
        <v>10</v>
      </c>
      <c r="V2">
        <v>6</v>
      </c>
      <c r="W2">
        <v>73500</v>
      </c>
      <c r="X2">
        <v>9</v>
      </c>
      <c r="Z2" t="s">
        <v>11</v>
      </c>
      <c r="AA2">
        <v>17</v>
      </c>
    </row>
    <row r="3" spans="2:27" ht="30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U3" t="s">
        <v>14</v>
      </c>
      <c r="V3">
        <v>4</v>
      </c>
      <c r="W3">
        <v>112500</v>
      </c>
      <c r="X3">
        <v>9.5</v>
      </c>
      <c r="Z3" t="s">
        <v>15</v>
      </c>
      <c r="AA3">
        <v>5</v>
      </c>
    </row>
    <row r="4" spans="2:27" x14ac:dyDescent="0.35">
      <c r="U4" t="s">
        <v>18</v>
      </c>
      <c r="V4">
        <v>4</v>
      </c>
      <c r="W4">
        <v>63500</v>
      </c>
      <c r="X4">
        <v>6.25</v>
      </c>
      <c r="Z4" t="s">
        <v>19</v>
      </c>
      <c r="AA4">
        <v>4</v>
      </c>
    </row>
    <row r="5" spans="2:27" ht="20" customHeight="1" x14ac:dyDescent="0.35">
      <c r="B5" s="4" t="s">
        <v>60</v>
      </c>
      <c r="C5" s="4"/>
      <c r="D5" s="4"/>
      <c r="F5" s="6" t="s">
        <v>61</v>
      </c>
      <c r="G5" s="6"/>
      <c r="H5" s="6"/>
      <c r="J5" s="8" t="s">
        <v>63</v>
      </c>
      <c r="K5" s="8"/>
      <c r="L5" s="8"/>
      <c r="U5" t="s">
        <v>22</v>
      </c>
      <c r="V5">
        <v>5</v>
      </c>
      <c r="W5">
        <v>173000</v>
      </c>
      <c r="X5">
        <v>10.199999999999999</v>
      </c>
      <c r="Z5" t="s">
        <v>26</v>
      </c>
      <c r="AA5">
        <v>4</v>
      </c>
    </row>
    <row r="6" spans="2:27" ht="25" customHeight="1" x14ac:dyDescent="0.35">
      <c r="B6" s="5">
        <v>30</v>
      </c>
      <c r="C6" s="5"/>
      <c r="D6" s="5"/>
      <c r="F6" s="7" t="s">
        <v>62</v>
      </c>
      <c r="G6" s="7"/>
      <c r="H6" s="7"/>
      <c r="J6" s="9">
        <v>703000</v>
      </c>
      <c r="K6" s="10"/>
      <c r="L6" s="10"/>
      <c r="U6" t="s">
        <v>25</v>
      </c>
      <c r="V6">
        <v>4</v>
      </c>
      <c r="W6">
        <v>126000</v>
      </c>
      <c r="X6">
        <v>11.75</v>
      </c>
    </row>
    <row r="7" spans="2:27" ht="25" customHeight="1" x14ac:dyDescent="0.35">
      <c r="B7" s="5"/>
      <c r="C7" s="5"/>
      <c r="D7" s="5"/>
      <c r="F7" s="7"/>
      <c r="G7" s="7"/>
      <c r="H7" s="7"/>
      <c r="J7" s="10"/>
      <c r="K7" s="10"/>
      <c r="L7" s="10"/>
      <c r="U7" t="s">
        <v>29</v>
      </c>
      <c r="V7">
        <v>4</v>
      </c>
      <c r="W7">
        <v>94500</v>
      </c>
      <c r="X7">
        <v>4.25</v>
      </c>
    </row>
    <row r="8" spans="2:27" x14ac:dyDescent="0.35">
      <c r="U8" t="s">
        <v>32</v>
      </c>
      <c r="V8">
        <v>3</v>
      </c>
      <c r="W8">
        <v>60000</v>
      </c>
      <c r="X8">
        <v>6.333333333333333</v>
      </c>
    </row>
    <row r="10" spans="2:27" ht="20" customHeight="1" x14ac:dyDescent="0.35">
      <c r="B10" s="11" t="s">
        <v>64</v>
      </c>
      <c r="C10" s="11"/>
      <c r="D10" s="11"/>
      <c r="F10" s="14" t="s">
        <v>65</v>
      </c>
      <c r="G10" s="14"/>
      <c r="H10" s="14"/>
      <c r="J10" s="16" t="s">
        <v>67</v>
      </c>
      <c r="K10" s="16"/>
      <c r="L10" s="16"/>
    </row>
    <row r="11" spans="2:27" ht="25" customHeight="1" x14ac:dyDescent="0.35">
      <c r="B11" s="12">
        <v>1439000</v>
      </c>
      <c r="C11" s="13"/>
      <c r="D11" s="13"/>
      <c r="F11" s="15" t="s">
        <v>66</v>
      </c>
      <c r="G11" s="15"/>
      <c r="H11" s="15"/>
      <c r="J11" s="17">
        <v>5</v>
      </c>
      <c r="K11" s="17"/>
      <c r="L11" s="17"/>
    </row>
    <row r="12" spans="2:27" ht="25" customHeight="1" x14ac:dyDescent="0.35">
      <c r="B12" s="13"/>
      <c r="C12" s="13"/>
      <c r="D12" s="13"/>
      <c r="F12" s="15"/>
      <c r="G12" s="15"/>
      <c r="H12" s="15"/>
      <c r="J12" s="17"/>
      <c r="K12" s="17"/>
      <c r="L12" s="17"/>
    </row>
  </sheetData>
  <mergeCells count="13">
    <mergeCell ref="B10:D10"/>
    <mergeCell ref="B11:D12"/>
    <mergeCell ref="F10:H10"/>
    <mergeCell ref="F11:H12"/>
    <mergeCell ref="J10:L10"/>
    <mergeCell ref="J11:L12"/>
    <mergeCell ref="B2:S3"/>
    <mergeCell ref="B5:D5"/>
    <mergeCell ref="B6:D7"/>
    <mergeCell ref="F5:H5"/>
    <mergeCell ref="F6:H7"/>
    <mergeCell ref="J5:L5"/>
    <mergeCell ref="J6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VBA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2026-08-10T14:44:58Z</dcterms:created>
  <dcterms:modified xsi:type="dcterms:W3CDTF">2026-08-10T16:02:23Z</dcterms:modified>
</cp:coreProperties>
</file>