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rVin\Downloads\rawfiles on github\"/>
    </mc:Choice>
  </mc:AlternateContent>
  <xr:revisionPtr revIDLastSave="0" documentId="8_{B679A6C8-ED58-481A-8743-0D2A93E578DF}" xr6:coauthVersionLast="47" xr6:coauthVersionMax="47" xr10:uidLastSave="{00000000-0000-0000-0000-000000000000}"/>
  <bookViews>
    <workbookView xWindow="-110" yWindow="-110" windowWidth="19420" windowHeight="11500" xr2:uid="{A6825010-70FA-4303-99EF-F390FF6A1DC6}"/>
  </bookViews>
  <sheets>
    <sheet name="Data" sheetId="1" r:id="rId1"/>
  </sheets>
  <externalReferences>
    <externalReference r:id="rId2"/>
  </externalReferences>
  <definedNames>
    <definedName name="AttritionFilter">[1]Dashboard!$K$7</definedName>
    <definedName name="CountryFilter">[1]Dashboard!$E$7</definedName>
    <definedName name="DeptFilter">[1]Dashboard!$C$7</definedName>
    <definedName name="EmpTypeFilter">[1]Dashboard!$G$7</definedName>
    <definedName name="JobLevelFilter">[1]Dashboard!$I$7</definedName>
    <definedName name="List_Attrition">[1]Settings!$E$2:$E$3</definedName>
    <definedName name="List_Country">[1]Settings!$B$2:$B$16</definedName>
    <definedName name="List_Dept">[1]Settings!$A$2:$A$7</definedName>
    <definedName name="List_EmpType">[1]Settings!$C$2:$C$3</definedName>
    <definedName name="List_JobLevel">[1]Settings!$D$2:$D$5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U41" i="1" l="1"/>
  <c r="T41" i="1"/>
  <c r="S41" i="1"/>
  <c r="R41" i="1"/>
  <c r="Q41" i="1"/>
  <c r="V41" i="1" s="1"/>
  <c r="P41" i="1"/>
  <c r="U40" i="1"/>
  <c r="T40" i="1"/>
  <c r="S40" i="1"/>
  <c r="R40" i="1"/>
  <c r="Q40" i="1"/>
  <c r="V40" i="1" s="1"/>
  <c r="P40" i="1"/>
  <c r="U39" i="1"/>
  <c r="T39" i="1"/>
  <c r="S39" i="1"/>
  <c r="R39" i="1"/>
  <c r="Q39" i="1"/>
  <c r="V39" i="1" s="1"/>
  <c r="P39" i="1"/>
  <c r="U38" i="1"/>
  <c r="T38" i="1"/>
  <c r="S38" i="1"/>
  <c r="R38" i="1"/>
  <c r="Q38" i="1"/>
  <c r="V38" i="1" s="1"/>
  <c r="P38" i="1"/>
  <c r="U37" i="1"/>
  <c r="T37" i="1"/>
  <c r="S37" i="1"/>
  <c r="R37" i="1"/>
  <c r="Q37" i="1"/>
  <c r="V37" i="1" s="1"/>
  <c r="P37" i="1"/>
  <c r="U36" i="1"/>
  <c r="T36" i="1"/>
  <c r="S36" i="1"/>
  <c r="R36" i="1"/>
  <c r="Q36" i="1"/>
  <c r="V36" i="1" s="1"/>
  <c r="P36" i="1"/>
  <c r="U35" i="1"/>
  <c r="T35" i="1"/>
  <c r="S35" i="1"/>
  <c r="R35" i="1"/>
  <c r="Q35" i="1"/>
  <c r="V35" i="1" s="1"/>
  <c r="P35" i="1"/>
  <c r="U34" i="1"/>
  <c r="T34" i="1"/>
  <c r="S34" i="1"/>
  <c r="R34" i="1"/>
  <c r="Q34" i="1"/>
  <c r="V34" i="1" s="1"/>
  <c r="P34" i="1"/>
  <c r="U33" i="1"/>
  <c r="T33" i="1"/>
  <c r="S33" i="1"/>
  <c r="R33" i="1"/>
  <c r="Q33" i="1"/>
  <c r="V33" i="1" s="1"/>
  <c r="P33" i="1"/>
  <c r="U32" i="1"/>
  <c r="T32" i="1"/>
  <c r="S32" i="1"/>
  <c r="R32" i="1"/>
  <c r="Q32" i="1"/>
  <c r="V32" i="1" s="1"/>
  <c r="P32" i="1"/>
  <c r="U31" i="1"/>
  <c r="T31" i="1"/>
  <c r="S31" i="1"/>
  <c r="R31" i="1"/>
  <c r="Q31" i="1"/>
  <c r="V31" i="1" s="1"/>
  <c r="P31" i="1"/>
  <c r="U30" i="1"/>
  <c r="T30" i="1"/>
  <c r="S30" i="1"/>
  <c r="R30" i="1"/>
  <c r="Q30" i="1"/>
  <c r="V30" i="1" s="1"/>
  <c r="P30" i="1"/>
  <c r="U29" i="1"/>
  <c r="T29" i="1"/>
  <c r="S29" i="1"/>
  <c r="R29" i="1"/>
  <c r="Q29" i="1"/>
  <c r="V29" i="1" s="1"/>
  <c r="P29" i="1"/>
  <c r="U28" i="1"/>
  <c r="T28" i="1"/>
  <c r="S28" i="1"/>
  <c r="R28" i="1"/>
  <c r="Q28" i="1"/>
  <c r="V28" i="1" s="1"/>
  <c r="P28" i="1"/>
  <c r="U27" i="1"/>
  <c r="T27" i="1"/>
  <c r="S27" i="1"/>
  <c r="R27" i="1"/>
  <c r="Q27" i="1"/>
  <c r="V27" i="1" s="1"/>
  <c r="P27" i="1"/>
  <c r="U26" i="1"/>
  <c r="T26" i="1"/>
  <c r="S26" i="1"/>
  <c r="R26" i="1"/>
  <c r="Q26" i="1"/>
  <c r="V26" i="1" s="1"/>
  <c r="P26" i="1"/>
  <c r="U25" i="1"/>
  <c r="T25" i="1"/>
  <c r="S25" i="1"/>
  <c r="R25" i="1"/>
  <c r="Q25" i="1"/>
  <c r="V25" i="1" s="1"/>
  <c r="P25" i="1"/>
  <c r="U24" i="1"/>
  <c r="T24" i="1"/>
  <c r="S24" i="1"/>
  <c r="R24" i="1"/>
  <c r="Q24" i="1"/>
  <c r="V24" i="1" s="1"/>
  <c r="P24" i="1"/>
  <c r="U23" i="1"/>
  <c r="T23" i="1"/>
  <c r="S23" i="1"/>
  <c r="R23" i="1"/>
  <c r="Q23" i="1"/>
  <c r="V23" i="1" s="1"/>
  <c r="P23" i="1"/>
  <c r="U22" i="1"/>
  <c r="T22" i="1"/>
  <c r="S22" i="1"/>
  <c r="R22" i="1"/>
  <c r="Q22" i="1"/>
  <c r="V22" i="1" s="1"/>
  <c r="P22" i="1"/>
  <c r="U21" i="1"/>
  <c r="T21" i="1"/>
  <c r="S21" i="1"/>
  <c r="R21" i="1"/>
  <c r="Q21" i="1"/>
  <c r="V21" i="1" s="1"/>
  <c r="P21" i="1"/>
  <c r="U20" i="1"/>
  <c r="T20" i="1"/>
  <c r="S20" i="1"/>
  <c r="R20" i="1"/>
  <c r="Q20" i="1"/>
  <c r="V20" i="1" s="1"/>
  <c r="P20" i="1"/>
  <c r="U19" i="1"/>
  <c r="T19" i="1"/>
  <c r="S19" i="1"/>
  <c r="R19" i="1"/>
  <c r="Q19" i="1"/>
  <c r="V19" i="1" s="1"/>
  <c r="P19" i="1"/>
  <c r="U18" i="1"/>
  <c r="T18" i="1"/>
  <c r="S18" i="1"/>
  <c r="R18" i="1"/>
  <c r="Q18" i="1"/>
  <c r="V18" i="1" s="1"/>
  <c r="P18" i="1"/>
  <c r="U17" i="1"/>
  <c r="T17" i="1"/>
  <c r="S17" i="1"/>
  <c r="R17" i="1"/>
  <c r="Q17" i="1"/>
  <c r="V17" i="1" s="1"/>
  <c r="P17" i="1"/>
  <c r="U16" i="1"/>
  <c r="T16" i="1"/>
  <c r="S16" i="1"/>
  <c r="R16" i="1"/>
  <c r="Q16" i="1"/>
  <c r="V16" i="1" s="1"/>
  <c r="P16" i="1"/>
  <c r="U15" i="1"/>
  <c r="T15" i="1"/>
  <c r="S15" i="1"/>
  <c r="R15" i="1"/>
  <c r="Q15" i="1"/>
  <c r="V15" i="1" s="1"/>
  <c r="P15" i="1"/>
  <c r="U14" i="1"/>
  <c r="T14" i="1"/>
  <c r="S14" i="1"/>
  <c r="R14" i="1"/>
  <c r="Q14" i="1"/>
  <c r="V14" i="1" s="1"/>
  <c r="P14" i="1"/>
  <c r="U13" i="1"/>
  <c r="T13" i="1"/>
  <c r="S13" i="1"/>
  <c r="R13" i="1"/>
  <c r="Q13" i="1"/>
  <c r="V13" i="1" s="1"/>
  <c r="P13" i="1"/>
  <c r="U12" i="1"/>
  <c r="T12" i="1"/>
  <c r="S12" i="1"/>
  <c r="R12" i="1"/>
  <c r="Q12" i="1"/>
  <c r="V12" i="1" s="1"/>
  <c r="P12" i="1"/>
  <c r="U11" i="1"/>
  <c r="T11" i="1"/>
  <c r="S11" i="1"/>
  <c r="R11" i="1"/>
  <c r="Q11" i="1"/>
  <c r="V11" i="1" s="1"/>
  <c r="P11" i="1"/>
  <c r="U10" i="1"/>
  <c r="T10" i="1"/>
  <c r="S10" i="1"/>
  <c r="R10" i="1"/>
  <c r="Q10" i="1"/>
  <c r="V10" i="1" s="1"/>
  <c r="P10" i="1"/>
  <c r="U9" i="1"/>
  <c r="T9" i="1"/>
  <c r="S9" i="1"/>
  <c r="R9" i="1"/>
  <c r="Q9" i="1"/>
  <c r="V9" i="1" s="1"/>
  <c r="P9" i="1"/>
  <c r="U8" i="1"/>
  <c r="T8" i="1"/>
  <c r="S8" i="1"/>
  <c r="R8" i="1"/>
  <c r="Q8" i="1"/>
  <c r="V8" i="1" s="1"/>
  <c r="P8" i="1"/>
  <c r="U7" i="1"/>
  <c r="T7" i="1"/>
  <c r="S7" i="1"/>
  <c r="R7" i="1"/>
  <c r="Q7" i="1"/>
  <c r="V7" i="1" s="1"/>
  <c r="P7" i="1"/>
  <c r="U6" i="1"/>
  <c r="T6" i="1"/>
  <c r="S6" i="1"/>
  <c r="R6" i="1"/>
  <c r="Q6" i="1"/>
  <c r="V6" i="1" s="1"/>
  <c r="P6" i="1"/>
  <c r="U5" i="1"/>
  <c r="T5" i="1"/>
  <c r="S5" i="1"/>
  <c r="R5" i="1"/>
  <c r="Q5" i="1"/>
  <c r="V5" i="1" s="1"/>
  <c r="P5" i="1"/>
  <c r="U4" i="1"/>
  <c r="T4" i="1"/>
  <c r="S4" i="1"/>
  <c r="R4" i="1"/>
  <c r="Q4" i="1"/>
  <c r="V4" i="1" s="1"/>
  <c r="P4" i="1"/>
  <c r="U3" i="1"/>
  <c r="T3" i="1"/>
  <c r="S3" i="1"/>
  <c r="R3" i="1"/>
  <c r="Q3" i="1"/>
  <c r="V3" i="1" s="1"/>
  <c r="P3" i="1"/>
  <c r="U2" i="1"/>
  <c r="T2" i="1"/>
  <c r="S2" i="1"/>
  <c r="R2" i="1"/>
  <c r="Q2" i="1"/>
  <c r="V2" i="1" s="1"/>
  <c r="P2" i="1"/>
</calcChain>
</file>

<file path=xl/sharedStrings.xml><?xml version="1.0" encoding="utf-8"?>
<sst xmlns="http://schemas.openxmlformats.org/spreadsheetml/2006/main" count="382" uniqueCount="150">
  <si>
    <t>Emp ID</t>
  </si>
  <si>
    <t>Employee Name</t>
  </si>
  <si>
    <t>Gender</t>
  </si>
  <si>
    <t>Age</t>
  </si>
  <si>
    <t>Location</t>
  </si>
  <si>
    <t>Department</t>
  </si>
  <si>
    <t>Employment Type</t>
  </si>
  <si>
    <t>Hire Date</t>
  </si>
  <si>
    <t>Job Level</t>
  </si>
  <si>
    <t>Salary (€)</t>
  </si>
  <si>
    <t>Performance</t>
  </si>
  <si>
    <t>Satisfaction</t>
  </si>
  <si>
    <t>Leave Days</t>
  </si>
  <si>
    <t>Training Hours</t>
  </si>
  <si>
    <t>Attrition</t>
  </si>
  <si>
    <t>City</t>
  </si>
  <si>
    <t>Country</t>
  </si>
  <si>
    <t>Hire Year</t>
  </si>
  <si>
    <t>Tenure Years</t>
  </si>
  <si>
    <t>Performance Score</t>
  </si>
  <si>
    <t>Salary Band</t>
  </si>
  <si>
    <t>Include</t>
  </si>
  <si>
    <t>EU1001</t>
  </si>
  <si>
    <t>Lukas Müller</t>
  </si>
  <si>
    <t>Male</t>
  </si>
  <si>
    <t>Berlin, Germany</t>
  </si>
  <si>
    <t>IT</t>
  </si>
  <si>
    <t>Permanent</t>
  </si>
  <si>
    <t>Senior</t>
  </si>
  <si>
    <t>Exceeds</t>
  </si>
  <si>
    <t>No</t>
  </si>
  <si>
    <t>EU1002</t>
  </si>
  <si>
    <t>Sophie Martin</t>
  </si>
  <si>
    <t>Female</t>
  </si>
  <si>
    <t>Paris, France</t>
  </si>
  <si>
    <t>Marketing</t>
  </si>
  <si>
    <t>Mid</t>
  </si>
  <si>
    <t>Meets</t>
  </si>
  <si>
    <t>EU1003</t>
  </si>
  <si>
    <t>Matteo Rossi</t>
  </si>
  <si>
    <t>Milan, Italy</t>
  </si>
  <si>
    <t>Finance</t>
  </si>
  <si>
    <t>EU1004</t>
  </si>
  <si>
    <t>Emma Johansson</t>
  </si>
  <si>
    <t>Stockholm, Sweden</t>
  </si>
  <si>
    <t>HR</t>
  </si>
  <si>
    <t>EU1005</t>
  </si>
  <si>
    <t>Jan Novak</t>
  </si>
  <si>
    <t>Prague, Czechia</t>
  </si>
  <si>
    <t>Operations</t>
  </si>
  <si>
    <t>Contractor</t>
  </si>
  <si>
    <t>EU1006</t>
  </si>
  <si>
    <t>Clara García</t>
  </si>
  <si>
    <t>Madrid, Spain</t>
  </si>
  <si>
    <t>Sales</t>
  </si>
  <si>
    <t>Junior</t>
  </si>
  <si>
    <t>EU1007</t>
  </si>
  <si>
    <t>Pierre Dubois</t>
  </si>
  <si>
    <t>Lyon, France</t>
  </si>
  <si>
    <t>Manager</t>
  </si>
  <si>
    <t>EU1008</t>
  </si>
  <si>
    <t>Anna Kowalska</t>
  </si>
  <si>
    <t>Warsaw, Poland</t>
  </si>
  <si>
    <t>EU1009</t>
  </si>
  <si>
    <t>Daniel Weber</t>
  </si>
  <si>
    <t>Munich, Germany</t>
  </si>
  <si>
    <t>EU1010</t>
  </si>
  <si>
    <t>Elena Popescu</t>
  </si>
  <si>
    <t>Bucharest, Romania</t>
  </si>
  <si>
    <t>EU1011</t>
  </si>
  <si>
    <t>Thomas Schneider</t>
  </si>
  <si>
    <t>Hamburg, Germany</t>
  </si>
  <si>
    <t>EU1012</t>
  </si>
  <si>
    <t>Camille Bernard</t>
  </si>
  <si>
    <t>Brussels, Belgium</t>
  </si>
  <si>
    <t>EU1013</t>
  </si>
  <si>
    <t>Miguel Santos</t>
  </si>
  <si>
    <t>Lisbon, Portugal</t>
  </si>
  <si>
    <t>EU1014</t>
  </si>
  <si>
    <t>Ingrid Hansen</t>
  </si>
  <si>
    <t>Copenhagen, Denmark</t>
  </si>
  <si>
    <t>EU1015</t>
  </si>
  <si>
    <t>Marco Bianchi</t>
  </si>
  <si>
    <t>Rome, Italy</t>
  </si>
  <si>
    <t>Yes</t>
  </si>
  <si>
    <t>EU1016</t>
  </si>
  <si>
    <t>Laura Sánchez</t>
  </si>
  <si>
    <t>Barcelona, Spain</t>
  </si>
  <si>
    <t>EU1017</t>
  </si>
  <si>
    <t>Erik Larsson</t>
  </si>
  <si>
    <t>Gothenburg, Sweden</t>
  </si>
  <si>
    <t>EU1018</t>
  </si>
  <si>
    <t>Zofia Nowak</t>
  </si>
  <si>
    <t>Krakow, Poland</t>
  </si>
  <si>
    <t>EU1019</t>
  </si>
  <si>
    <t>Antoine Leroy</t>
  </si>
  <si>
    <t>Marseille, France</t>
  </si>
  <si>
    <t>EU1020</t>
  </si>
  <si>
    <t>Greta Fischer</t>
  </si>
  <si>
    <t>Vienna, Austria</t>
  </si>
  <si>
    <t>EU1021</t>
  </si>
  <si>
    <t>Stefan Horváth</t>
  </si>
  <si>
    <t>Bratislava, Slovakia</t>
  </si>
  <si>
    <t>EU1022</t>
  </si>
  <si>
    <t>Isabel Costa</t>
  </si>
  <si>
    <t>Porto, Portugal</t>
  </si>
  <si>
    <t>EU1023</t>
  </si>
  <si>
    <t>Felix Bauer</t>
  </si>
  <si>
    <t>Frankfurt, Germany</t>
  </si>
  <si>
    <t>EU1024</t>
  </si>
  <si>
    <t>Marie Lefèvre</t>
  </si>
  <si>
    <t>EU1025</t>
  </si>
  <si>
    <t>Andrea Conti</t>
  </si>
  <si>
    <t>Turin, Italy</t>
  </si>
  <si>
    <t>EU1026</t>
  </si>
  <si>
    <t>Katarina Müllerová</t>
  </si>
  <si>
    <t>EU1027</t>
  </si>
  <si>
    <t>Willem de Vries</t>
  </si>
  <si>
    <t>Amsterdam, Netherlands</t>
  </si>
  <si>
    <t>EU1028</t>
  </si>
  <si>
    <t>Sara Lindström</t>
  </si>
  <si>
    <t>Malmö, Sweden</t>
  </si>
  <si>
    <t>EU1029</t>
  </si>
  <si>
    <t>Piotr Zielinski</t>
  </si>
  <si>
    <t>EU1030</t>
  </si>
  <si>
    <t>Charlotte Meyer</t>
  </si>
  <si>
    <t>Luxembourg, Luxembourg</t>
  </si>
  <si>
    <t>EU1031</t>
  </si>
  <si>
    <t>Pablo Martín</t>
  </si>
  <si>
    <t>Valencia, Spain</t>
  </si>
  <si>
    <t>EU1032</t>
  </si>
  <si>
    <t>Léa Moreau</t>
  </si>
  <si>
    <t>EU1033</t>
  </si>
  <si>
    <t>Nils Eriksson</t>
  </si>
  <si>
    <t>EU1034</t>
  </si>
  <si>
    <t>Ana Ionescu</t>
  </si>
  <si>
    <t>Cluj-Napoca, Romania</t>
  </si>
  <si>
    <t>EU1035</t>
  </si>
  <si>
    <t>Georg Klein</t>
  </si>
  <si>
    <t>EU1036</t>
  </si>
  <si>
    <t>Beatrice Romano</t>
  </si>
  <si>
    <t>EU1037</t>
  </si>
  <si>
    <t>Lars Andersen</t>
  </si>
  <si>
    <t>EU1038</t>
  </si>
  <si>
    <t>Sophie Van Dijk</t>
  </si>
  <si>
    <t>EU1039</t>
  </si>
  <si>
    <t>Nicolas Petit</t>
  </si>
  <si>
    <t>Needs Improvement</t>
  </si>
  <si>
    <t>EU1040</t>
  </si>
  <si>
    <t>Helena Schmidt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</si>
</sst>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3" x14ac:knownFonts="1">
    <font>
      <sz val="11"/>
      <color theme="1"/>
      <name val="Calibri"/>
      <family val="2"/>
      <charset val="1"/>
    </font>
    <font>
      <b/>
      <sz val="10"/>
      <color rgb="FFFFFFFF"/>
      <name val="Calibri"/>
      <charset val="1"/>
    </font>
    <font>
      <i/>
      <sz val="9"/>
      <color rgb="FF6B728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</fills>
  <borders count="2">
    <border>
      <left/>
      <right/>
      <top/>
      <bottom/>
      <diagonal/>
    </border>
    <border>
      <left style="thin">
        <color rgb="FFD9DEE4"/>
      </left>
      <right style="thin">
        <color rgb="FFD9DEE4"/>
      </right>
      <top style="thin">
        <color rgb="FFD9DEE4"/>
      </top>
      <bottom style="thin">
        <color rgb="FFD9DEE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  <xf numFmtId="0" fontId="2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3526155-9B16-4B8D-A1CE-7760663E037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AppData/Roaming/Microsoft/Excel/HR_Dashboard%20(version%201).xlsb" TargetMode="External"/><Relationship Id="rId2" Type="http://schemas.openxmlformats.org/officeDocument/2006/relationships/externalLinkPath" Target="file:///C:\Users\DrVin\AppData\Roaming\Microsoft\Excel\HR_Dashboard%20(version%201).xlsb" TargetMode="External"/><Relationship Id="rId1" Type="http://schemas.openxmlformats.org/officeDocument/2006/relationships/externalLinkPath" Target="/Users/DrVin/AppData/Roaming/Microsoft/Excel/HR_Dashboard%20(version%201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shboard"/>
      <sheetName val="Data"/>
      <sheetName val="Settings"/>
      <sheetName val="Calc"/>
    </sheetNames>
    <sheetDataSet>
      <sheetData sheetId="0">
        <row r="7">
          <cell r="C7" t="str">
            <v>All</v>
          </cell>
          <cell r="E7" t="str">
            <v>All</v>
          </cell>
          <cell r="G7" t="str">
            <v>All</v>
          </cell>
          <cell r="I7" t="str">
            <v>All</v>
          </cell>
          <cell r="K7" t="str">
            <v>All</v>
          </cell>
        </row>
      </sheetData>
      <sheetData sheetId="1"/>
      <sheetData sheetId="2">
        <row r="2">
          <cell r="A2" t="str">
            <v>All</v>
          </cell>
          <cell r="B2" t="str">
            <v>All</v>
          </cell>
          <cell r="C2" t="str">
            <v>All</v>
          </cell>
          <cell r="D2" t="str">
            <v>All</v>
          </cell>
          <cell r="E2" t="str">
            <v>All</v>
          </cell>
        </row>
        <row r="3">
          <cell r="A3" t="str">
            <v>Finance</v>
          </cell>
          <cell r="B3" t="str">
            <v>Austria</v>
          </cell>
          <cell r="C3" t="str">
            <v>Contractor</v>
          </cell>
          <cell r="D3" t="str">
            <v>Junior</v>
          </cell>
          <cell r="E3" t="str">
            <v>Yes</v>
          </cell>
        </row>
        <row r="4">
          <cell r="A4" t="str">
            <v>HR</v>
          </cell>
          <cell r="B4" t="str">
            <v>Belgium</v>
          </cell>
          <cell r="D4" t="str">
            <v>Mid</v>
          </cell>
        </row>
        <row r="5">
          <cell r="A5" t="str">
            <v>IT</v>
          </cell>
          <cell r="B5" t="str">
            <v>Czechia</v>
          </cell>
          <cell r="D5" t="str">
            <v>Senior</v>
          </cell>
        </row>
        <row r="6">
          <cell r="A6" t="str">
            <v>Marketing</v>
          </cell>
          <cell r="B6" t="str">
            <v>Denmark</v>
          </cell>
        </row>
        <row r="7">
          <cell r="A7" t="str">
            <v>Operations</v>
          </cell>
          <cell r="B7" t="str">
            <v>France</v>
          </cell>
        </row>
        <row r="8">
          <cell r="B8" t="str">
            <v>Germany</v>
          </cell>
        </row>
        <row r="9">
          <cell r="B9" t="str">
            <v>Italy</v>
          </cell>
        </row>
        <row r="10">
          <cell r="B10" t="str">
            <v>Luxembourg</v>
          </cell>
        </row>
        <row r="11">
          <cell r="B11" t="str">
            <v>Netherlands</v>
          </cell>
        </row>
        <row r="12">
          <cell r="B12" t="str">
            <v>Poland</v>
          </cell>
        </row>
        <row r="13">
          <cell r="B13" t="str">
            <v>Portugal</v>
          </cell>
        </row>
        <row r="14">
          <cell r="B14" t="str">
            <v>Romania</v>
          </cell>
        </row>
        <row r="15">
          <cell r="B15" t="str">
            <v>Slovakia</v>
          </cell>
        </row>
        <row r="16">
          <cell r="B16" t="str">
            <v>Spain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4EF0C4-4E02-4886-AE16-2840C66E95F2}" name="Employees" displayName="Employees" ref="A1:V41" totalsRowShown="0">
  <autoFilter ref="A1:V41" xr:uid="{00000000-0009-0000-0100-000001000000}"/>
  <tableColumns count="22">
    <tableColumn id="1" xr3:uid="{47E7DC08-CB17-4ED3-9DBB-2D871E0F1B21}" name="Emp ID"/>
    <tableColumn id="2" xr3:uid="{C128921C-C3FA-4862-A392-DDD4A9E1A771}" name="Employee Name"/>
    <tableColumn id="3" xr3:uid="{25841AFE-AEEC-4529-B58C-171452F19284}" name="Gender"/>
    <tableColumn id="4" xr3:uid="{29AD8494-7625-48F1-84FA-E92FCEB6D99F}" name="Age"/>
    <tableColumn id="5" xr3:uid="{653F9498-DBE1-4D31-8020-C12242782FE3}" name="Location"/>
    <tableColumn id="6" xr3:uid="{D8D71A5C-6FF4-481D-8D53-6D2A78BF1B2D}" name="Department"/>
    <tableColumn id="7" xr3:uid="{44264199-F7FA-401B-9515-EB0FEBF32E4C}" name="Employment Type"/>
    <tableColumn id="8" xr3:uid="{E9D8E748-27FE-48E8-945B-E6CF281A95C0}" name="Hire Date"/>
    <tableColumn id="9" xr3:uid="{39B6F387-2835-46A2-B852-AC1688D24EF9}" name="Job Level"/>
    <tableColumn id="10" xr3:uid="{F820B113-E6F7-4698-8A3C-BA9DB2346E50}" name="Salary (€)"/>
    <tableColumn id="11" xr3:uid="{31D450C9-A66A-4976-8935-945D97C82270}" name="Performance"/>
    <tableColumn id="12" xr3:uid="{886AABA6-1925-45F6-9231-4A24F92DC203}" name="Satisfaction"/>
    <tableColumn id="13" xr3:uid="{0CE309DB-1A16-4C08-AC2E-6660475C98CF}" name="Leave Days"/>
    <tableColumn id="14" xr3:uid="{DA321EE9-B007-494E-8F3E-8271D1C483C1}" name="Training Hours"/>
    <tableColumn id="15" xr3:uid="{2EABA390-745C-4A27-A699-8B10F79BCAF1}" name="Attrition"/>
    <tableColumn id="16" xr3:uid="{289FFEC2-EDBC-4ADE-A1AF-CC73B8BABF78}" name="City">
      <calculatedColumnFormula>IF(E2="","",TRIM(LEFT(E2,FIND(",",E2)-1)))</calculatedColumnFormula>
    </tableColumn>
    <tableColumn id="17" xr3:uid="{9F851709-7108-4217-BAE2-E6B4D6F48E53}" name="Country">
      <calculatedColumnFormula>IF(E2="","",TRIM(MID(E2,FIND(",",E2)+1,50)))</calculatedColumnFormula>
    </tableColumn>
    <tableColumn id="18" xr3:uid="{97854352-25D7-45BB-A73A-8CA2119196CE}" name="Hire Year">
      <calculatedColumnFormula>IF(H2="","",YEAR(H2))</calculatedColumnFormula>
    </tableColumn>
    <tableColumn id="19" xr3:uid="{74C32E64-12EF-40A5-9ECE-4DE21824A702}" name="Tenure Years">
      <calculatedColumnFormula>IF(H2="","",ROUND((TODAY()-H2)/365.25,1))</calculatedColumnFormula>
    </tableColumn>
    <tableColumn id="20" xr3:uid="{C0103640-4F4C-40F9-939B-7F0D78857B06}" name="Performance Score">
      <calculatedColumnFormula>IF(K2="","",IF(K2="Exceeds",3,IF(K2="Meets",2,IF(K2="Needs Improvement",1,""))))</calculatedColumnFormula>
    </tableColumn>
    <tableColumn id="21" xr3:uid="{62BF5154-1611-438C-B43F-E3F07FC47A94}" name="Salary Band">
      <calculatedColumnFormula>IF(J2="","",IF(J2&lt;45000,"Under €45k",IF(J2&lt;60000,"€45k-€60k",IF(J2&lt;75000,"€60k-€75k","€75k+"))))</calculatedColumnFormula>
    </tableColumn>
    <tableColumn id="22" xr3:uid="{59BF4C4A-BA42-4300-A99D-18BC9965C69C}" name="Include">
      <calculatedColumnFormula>IF(AND(OR(DeptFilter="All",F2=DeptFilter),OR(CountryFilter="All",Q2=CountryFilter),OR(EmpTypeFilter="All",G2=EmpTypeFilter),OR(JobLevelFilter="All",I2=JobLevelFilter),OR(AttritionFilter="All",O2=AttritionFilter)),1,0)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525" row="1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99099ba-256c-44af-8d9c-734ce5f4dd41}">
  <we:reference id="WA200009404" version="1.0.0.8" store="en-US" storeType="OMEX"/>
  <we:alternateReferences/>
  <we:properties>
    <we:property name="Microsoft.Office.CampaignId" value="&quot;none&quot;"/>
    <we:property name="claude.fileId" value="&quot;13c76dea-ab1f-4c3b-9a75-2ab182307a1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9A135-2B6B-4EE4-9D57-CB8A4F6376BE}">
  <sheetPr codeName="Sheet2"/>
  <dimension ref="A1:V43"/>
  <sheetViews>
    <sheetView tabSelected="1" topLeftCell="J1" zoomScaleNormal="100" workbookViewId="0">
      <pane ySplit="1" topLeftCell="A2" activePane="bottomLeft" state="frozen"/>
      <selection pane="bottomLeft" activeCell="K8" sqref="K8"/>
    </sheetView>
  </sheetViews>
  <sheetFormatPr defaultColWidth="8.6328125" defaultRowHeight="14.5" x14ac:dyDescent="0.35"/>
  <cols>
    <col min="1" max="1" width="9" customWidth="1"/>
    <col min="2" max="2" width="20" customWidth="1"/>
    <col min="3" max="3" width="8" customWidth="1"/>
    <col min="4" max="4" width="6" customWidth="1"/>
    <col min="5" max="5" width="22" customWidth="1"/>
    <col min="6" max="6" width="12" customWidth="1"/>
    <col min="7" max="7" width="14" customWidth="1"/>
    <col min="8" max="8" width="12" customWidth="1"/>
    <col min="9" max="9" width="10" customWidth="1"/>
    <col min="10" max="10" width="12" customWidth="1"/>
    <col min="11" max="11" width="18" customWidth="1"/>
    <col min="12" max="13" width="10" customWidth="1"/>
    <col min="14" max="14" width="14" customWidth="1"/>
    <col min="15" max="15" width="10" customWidth="1"/>
    <col min="16" max="16" width="16" customWidth="1"/>
    <col min="17" max="17" width="14" customWidth="1"/>
    <col min="18" max="18" width="10" customWidth="1"/>
    <col min="19" max="19" width="11" customWidth="1"/>
    <col min="20" max="20" width="16" customWidth="1"/>
    <col min="21" max="21" width="12" customWidth="1"/>
    <col min="22" max="22" width="9" customWidth="1"/>
  </cols>
  <sheetData>
    <row r="1" spans="1:22" ht="27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2" t="s">
        <v>22</v>
      </c>
      <c r="B2" s="2" t="s">
        <v>23</v>
      </c>
      <c r="C2" s="2" t="s">
        <v>24</v>
      </c>
      <c r="D2" s="2">
        <v>34</v>
      </c>
      <c r="E2" s="2" t="s">
        <v>25</v>
      </c>
      <c r="F2" s="2" t="s">
        <v>26</v>
      </c>
      <c r="G2" s="2" t="s">
        <v>27</v>
      </c>
      <c r="H2" s="3">
        <v>44270</v>
      </c>
      <c r="I2" s="2" t="s">
        <v>28</v>
      </c>
      <c r="J2" s="2">
        <v>68000</v>
      </c>
      <c r="K2" s="2" t="s">
        <v>29</v>
      </c>
      <c r="L2" s="2">
        <v>4</v>
      </c>
      <c r="M2" s="2">
        <v>8</v>
      </c>
      <c r="N2" s="2">
        <v>32</v>
      </c>
      <c r="O2" s="2" t="s">
        <v>30</v>
      </c>
      <c r="P2" t="str">
        <f t="shared" ref="P2:P41" si="0">IF(E2="","",TRIM(LEFT(E2,FIND(",",E2)-1)))</f>
        <v>Berlin</v>
      </c>
      <c r="Q2" t="str">
        <f t="shared" ref="Q2:Q41" si="1">IF(E2="","",TRIM(MID(E2,FIND(",",E2)+1,50)))</f>
        <v>Germany</v>
      </c>
      <c r="R2">
        <f t="shared" ref="R2:R41" si="2">IF(H2="","",YEAR(H2))</f>
        <v>2021</v>
      </c>
      <c r="S2">
        <f t="shared" ref="S2:S41" ca="1" si="3">IF(H2="","",ROUND((TODAY()-H2)/365.25,1))</f>
        <v>5.4</v>
      </c>
      <c r="T2">
        <f t="shared" ref="T2:T41" si="4">IF(K2="","",IF(K2="Exceeds",3,IF(K2="Meets",2,IF(K2="Needs Improvement",1,""))))</f>
        <v>3</v>
      </c>
      <c r="U2" t="str">
        <f t="shared" ref="U2:U41" si="5">IF(J2="","",IF(J2&lt;45000,"Under €45k",IF(J2&lt;60000,"€45k-€60k",IF(J2&lt;75000,"€60k-€75k","€75k+"))))</f>
        <v>€60k-€75k</v>
      </c>
      <c r="V2">
        <f t="shared" ref="V2:V41" si="6">IF(AND(OR(DeptFilter="All",F2=DeptFilter),OR(CountryFilter="All",Q2=CountryFilter),OR(EmpTypeFilter="All",G2=EmpTypeFilter),OR(JobLevelFilter="All",I2=JobLevelFilter),OR(AttritionFilter="All",O2=AttritionFilter)),1,0)</f>
        <v>1</v>
      </c>
    </row>
    <row r="3" spans="1:22" x14ac:dyDescent="0.35">
      <c r="A3" s="2" t="s">
        <v>31</v>
      </c>
      <c r="B3" s="2" t="s">
        <v>32</v>
      </c>
      <c r="C3" s="2" t="s">
        <v>33</v>
      </c>
      <c r="D3" s="2">
        <v>29</v>
      </c>
      <c r="E3" s="2" t="s">
        <v>34</v>
      </c>
      <c r="F3" s="2" t="s">
        <v>35</v>
      </c>
      <c r="G3" s="2" t="s">
        <v>27</v>
      </c>
      <c r="H3" s="3">
        <v>44732</v>
      </c>
      <c r="I3" s="2" t="s">
        <v>36</v>
      </c>
      <c r="J3" s="2">
        <v>52000</v>
      </c>
      <c r="K3" s="2" t="s">
        <v>37</v>
      </c>
      <c r="L3" s="2">
        <v>5</v>
      </c>
      <c r="M3" s="2">
        <v>6</v>
      </c>
      <c r="N3" s="2">
        <v>24</v>
      </c>
      <c r="O3" s="2" t="s">
        <v>30</v>
      </c>
      <c r="P3" t="str">
        <f t="shared" si="0"/>
        <v>Paris</v>
      </c>
      <c r="Q3" t="str">
        <f t="shared" si="1"/>
        <v>France</v>
      </c>
      <c r="R3">
        <f t="shared" si="2"/>
        <v>2022</v>
      </c>
      <c r="S3">
        <f t="shared" ca="1" si="3"/>
        <v>4.0999999999999996</v>
      </c>
      <c r="T3">
        <f t="shared" si="4"/>
        <v>2</v>
      </c>
      <c r="U3" t="str">
        <f t="shared" si="5"/>
        <v>€45k-€60k</v>
      </c>
      <c r="V3">
        <f t="shared" si="6"/>
        <v>1</v>
      </c>
    </row>
    <row r="4" spans="1:22" x14ac:dyDescent="0.35">
      <c r="A4" s="2" t="s">
        <v>38</v>
      </c>
      <c r="B4" s="2" t="s">
        <v>39</v>
      </c>
      <c r="C4" s="2" t="s">
        <v>24</v>
      </c>
      <c r="D4" s="2">
        <v>41</v>
      </c>
      <c r="E4" s="2" t="s">
        <v>40</v>
      </c>
      <c r="F4" s="2" t="s">
        <v>41</v>
      </c>
      <c r="G4" s="2" t="s">
        <v>27</v>
      </c>
      <c r="H4" s="3">
        <v>43475</v>
      </c>
      <c r="I4" s="2" t="s">
        <v>28</v>
      </c>
      <c r="J4" s="2">
        <v>72000</v>
      </c>
      <c r="K4" s="2" t="s">
        <v>29</v>
      </c>
      <c r="L4" s="2">
        <v>4</v>
      </c>
      <c r="M4" s="2">
        <v>10</v>
      </c>
      <c r="N4" s="2">
        <v>40</v>
      </c>
      <c r="O4" s="2" t="s">
        <v>30</v>
      </c>
      <c r="P4" t="str">
        <f t="shared" si="0"/>
        <v>Milan</v>
      </c>
      <c r="Q4" t="str">
        <f t="shared" si="1"/>
        <v>Italy</v>
      </c>
      <c r="R4">
        <f t="shared" si="2"/>
        <v>2019</v>
      </c>
      <c r="S4">
        <f t="shared" ca="1" si="3"/>
        <v>7.6</v>
      </c>
      <c r="T4">
        <f t="shared" si="4"/>
        <v>3</v>
      </c>
      <c r="U4" t="str">
        <f t="shared" si="5"/>
        <v>€60k-€75k</v>
      </c>
      <c r="V4">
        <f t="shared" si="6"/>
        <v>1</v>
      </c>
    </row>
    <row r="5" spans="1:22" x14ac:dyDescent="0.35">
      <c r="A5" s="2" t="s">
        <v>42</v>
      </c>
      <c r="B5" s="2" t="s">
        <v>43</v>
      </c>
      <c r="C5" s="2" t="s">
        <v>33</v>
      </c>
      <c r="D5" s="2">
        <v>31</v>
      </c>
      <c r="E5" s="2" t="s">
        <v>44</v>
      </c>
      <c r="F5" s="2" t="s">
        <v>45</v>
      </c>
      <c r="G5" s="2" t="s">
        <v>27</v>
      </c>
      <c r="H5" s="3">
        <v>44970</v>
      </c>
      <c r="I5" s="2" t="s">
        <v>36</v>
      </c>
      <c r="J5" s="2">
        <v>55000</v>
      </c>
      <c r="K5" s="2" t="s">
        <v>37</v>
      </c>
      <c r="L5" s="2">
        <v>4</v>
      </c>
      <c r="M5" s="2">
        <v>5</v>
      </c>
      <c r="N5" s="2">
        <v>28</v>
      </c>
      <c r="O5" s="2" t="s">
        <v>30</v>
      </c>
      <c r="P5" t="str">
        <f t="shared" si="0"/>
        <v>Stockholm</v>
      </c>
      <c r="Q5" t="str">
        <f t="shared" si="1"/>
        <v>Sweden</v>
      </c>
      <c r="R5">
        <f t="shared" si="2"/>
        <v>2023</v>
      </c>
      <c r="S5">
        <f t="shared" ca="1" si="3"/>
        <v>3.5</v>
      </c>
      <c r="T5">
        <f t="shared" si="4"/>
        <v>2</v>
      </c>
      <c r="U5" t="str">
        <f t="shared" si="5"/>
        <v>€45k-€60k</v>
      </c>
      <c r="V5">
        <f t="shared" si="6"/>
        <v>1</v>
      </c>
    </row>
    <row r="6" spans="1:22" x14ac:dyDescent="0.35">
      <c r="A6" s="2" t="s">
        <v>46</v>
      </c>
      <c r="B6" s="2" t="s">
        <v>47</v>
      </c>
      <c r="C6" s="2" t="s">
        <v>24</v>
      </c>
      <c r="D6" s="2">
        <v>38</v>
      </c>
      <c r="E6" s="2" t="s">
        <v>48</v>
      </c>
      <c r="F6" s="2" t="s">
        <v>49</v>
      </c>
      <c r="G6" s="2" t="s">
        <v>50</v>
      </c>
      <c r="H6" s="3">
        <v>45390</v>
      </c>
      <c r="I6" s="2" t="s">
        <v>36</v>
      </c>
      <c r="J6" s="2">
        <v>48000</v>
      </c>
      <c r="K6" s="2" t="s">
        <v>37</v>
      </c>
      <c r="L6" s="2">
        <v>3</v>
      </c>
      <c r="M6" s="2">
        <v>12</v>
      </c>
      <c r="N6" s="2">
        <v>16</v>
      </c>
      <c r="O6" s="2" t="s">
        <v>30</v>
      </c>
      <c r="P6" t="str">
        <f t="shared" si="0"/>
        <v>Prague</v>
      </c>
      <c r="Q6" t="str">
        <f t="shared" si="1"/>
        <v>Czechia</v>
      </c>
      <c r="R6">
        <f t="shared" si="2"/>
        <v>2024</v>
      </c>
      <c r="S6">
        <f t="shared" ca="1" si="3"/>
        <v>2.2999999999999998</v>
      </c>
      <c r="T6">
        <f t="shared" si="4"/>
        <v>2</v>
      </c>
      <c r="U6" t="str">
        <f t="shared" si="5"/>
        <v>€45k-€60k</v>
      </c>
      <c r="V6">
        <f t="shared" si="6"/>
        <v>1</v>
      </c>
    </row>
    <row r="7" spans="1:22" x14ac:dyDescent="0.35">
      <c r="A7" s="2" t="s">
        <v>51</v>
      </c>
      <c r="B7" s="2" t="s">
        <v>52</v>
      </c>
      <c r="C7" s="2" t="s">
        <v>33</v>
      </c>
      <c r="D7" s="2">
        <v>27</v>
      </c>
      <c r="E7" s="2" t="s">
        <v>53</v>
      </c>
      <c r="F7" s="2" t="s">
        <v>54</v>
      </c>
      <c r="G7" s="2" t="s">
        <v>27</v>
      </c>
      <c r="H7" s="3">
        <v>45159</v>
      </c>
      <c r="I7" s="2" t="s">
        <v>55</v>
      </c>
      <c r="J7" s="2">
        <v>42000</v>
      </c>
      <c r="K7" s="2" t="s">
        <v>37</v>
      </c>
      <c r="L7" s="2">
        <v>4</v>
      </c>
      <c r="M7" s="2">
        <v>7</v>
      </c>
      <c r="N7" s="2">
        <v>30</v>
      </c>
      <c r="O7" s="2" t="s">
        <v>30</v>
      </c>
      <c r="P7" t="str">
        <f t="shared" si="0"/>
        <v>Madrid</v>
      </c>
      <c r="Q7" t="str">
        <f t="shared" si="1"/>
        <v>Spain</v>
      </c>
      <c r="R7">
        <f t="shared" si="2"/>
        <v>2023</v>
      </c>
      <c r="S7">
        <f t="shared" ca="1" si="3"/>
        <v>3</v>
      </c>
      <c r="T7">
        <f t="shared" si="4"/>
        <v>2</v>
      </c>
      <c r="U7" t="str">
        <f t="shared" si="5"/>
        <v>Under €45k</v>
      </c>
      <c r="V7">
        <f t="shared" si="6"/>
        <v>1</v>
      </c>
    </row>
    <row r="8" spans="1:22" x14ac:dyDescent="0.35">
      <c r="A8" s="2" t="s">
        <v>56</v>
      </c>
      <c r="B8" s="2" t="s">
        <v>57</v>
      </c>
      <c r="C8" s="2" t="s">
        <v>24</v>
      </c>
      <c r="D8" s="2">
        <v>45</v>
      </c>
      <c r="E8" s="2" t="s">
        <v>58</v>
      </c>
      <c r="F8" s="2" t="s">
        <v>49</v>
      </c>
      <c r="G8" s="2" t="s">
        <v>27</v>
      </c>
      <c r="H8" s="3">
        <v>43409</v>
      </c>
      <c r="I8" s="2" t="s">
        <v>59</v>
      </c>
      <c r="J8" s="2">
        <v>78000</v>
      </c>
      <c r="K8" s="2" t="s">
        <v>29</v>
      </c>
      <c r="L8" s="2">
        <v>5</v>
      </c>
      <c r="M8" s="2">
        <v>4</v>
      </c>
      <c r="N8" s="2">
        <v>36</v>
      </c>
      <c r="O8" s="2" t="s">
        <v>30</v>
      </c>
      <c r="P8" t="str">
        <f t="shared" si="0"/>
        <v>Lyon</v>
      </c>
      <c r="Q8" t="str">
        <f t="shared" si="1"/>
        <v>France</v>
      </c>
      <c r="R8">
        <f t="shared" si="2"/>
        <v>2018</v>
      </c>
      <c r="S8">
        <f t="shared" ca="1" si="3"/>
        <v>7.8</v>
      </c>
      <c r="T8">
        <f t="shared" si="4"/>
        <v>3</v>
      </c>
      <c r="U8" t="str">
        <f t="shared" si="5"/>
        <v>€75k+</v>
      </c>
      <c r="V8">
        <f t="shared" si="6"/>
        <v>1</v>
      </c>
    </row>
    <row r="9" spans="1:22" x14ac:dyDescent="0.35">
      <c r="A9" s="2" t="s">
        <v>60</v>
      </c>
      <c r="B9" s="2" t="s">
        <v>61</v>
      </c>
      <c r="C9" s="2" t="s">
        <v>33</v>
      </c>
      <c r="D9" s="2">
        <v>36</v>
      </c>
      <c r="E9" s="2" t="s">
        <v>62</v>
      </c>
      <c r="F9" s="2" t="s">
        <v>26</v>
      </c>
      <c r="G9" s="2" t="s">
        <v>27</v>
      </c>
      <c r="H9" s="3">
        <v>44088</v>
      </c>
      <c r="I9" s="2" t="s">
        <v>28</v>
      </c>
      <c r="J9" s="2">
        <v>61000</v>
      </c>
      <c r="K9" s="2" t="s">
        <v>37</v>
      </c>
      <c r="L9" s="2">
        <v>4</v>
      </c>
      <c r="M9" s="2">
        <v>9</v>
      </c>
      <c r="N9" s="2">
        <v>42</v>
      </c>
      <c r="O9" s="2" t="s">
        <v>30</v>
      </c>
      <c r="P9" t="str">
        <f t="shared" si="0"/>
        <v>Warsaw</v>
      </c>
      <c r="Q9" t="str">
        <f t="shared" si="1"/>
        <v>Poland</v>
      </c>
      <c r="R9">
        <f t="shared" si="2"/>
        <v>2020</v>
      </c>
      <c r="S9">
        <f t="shared" ca="1" si="3"/>
        <v>5.9</v>
      </c>
      <c r="T9">
        <f t="shared" si="4"/>
        <v>2</v>
      </c>
      <c r="U9" t="str">
        <f t="shared" si="5"/>
        <v>€60k-€75k</v>
      </c>
      <c r="V9">
        <f t="shared" si="6"/>
        <v>1</v>
      </c>
    </row>
    <row r="10" spans="1:22" x14ac:dyDescent="0.35">
      <c r="A10" s="2" t="s">
        <v>63</v>
      </c>
      <c r="B10" s="2" t="s">
        <v>64</v>
      </c>
      <c r="C10" s="2" t="s">
        <v>24</v>
      </c>
      <c r="D10" s="2">
        <v>30</v>
      </c>
      <c r="E10" s="2" t="s">
        <v>65</v>
      </c>
      <c r="F10" s="2" t="s">
        <v>54</v>
      </c>
      <c r="G10" s="2" t="s">
        <v>50</v>
      </c>
      <c r="H10" s="3">
        <v>45313</v>
      </c>
      <c r="I10" s="2" t="s">
        <v>36</v>
      </c>
      <c r="J10" s="2">
        <v>51000</v>
      </c>
      <c r="K10" s="2" t="s">
        <v>37</v>
      </c>
      <c r="L10" s="2">
        <v>3</v>
      </c>
      <c r="M10" s="2">
        <v>15</v>
      </c>
      <c r="N10" s="2">
        <v>20</v>
      </c>
      <c r="O10" s="2" t="s">
        <v>30</v>
      </c>
      <c r="P10" t="str">
        <f t="shared" si="0"/>
        <v>Munich</v>
      </c>
      <c r="Q10" t="str">
        <f t="shared" si="1"/>
        <v>Germany</v>
      </c>
      <c r="R10">
        <f t="shared" si="2"/>
        <v>2024</v>
      </c>
      <c r="S10">
        <f t="shared" ca="1" si="3"/>
        <v>2.6</v>
      </c>
      <c r="T10">
        <f t="shared" si="4"/>
        <v>2</v>
      </c>
      <c r="U10" t="str">
        <f t="shared" si="5"/>
        <v>€45k-€60k</v>
      </c>
      <c r="V10">
        <f t="shared" si="6"/>
        <v>1</v>
      </c>
    </row>
    <row r="11" spans="1:22" x14ac:dyDescent="0.35">
      <c r="A11" s="2" t="s">
        <v>66</v>
      </c>
      <c r="B11" s="2" t="s">
        <v>67</v>
      </c>
      <c r="C11" s="2" t="s">
        <v>33</v>
      </c>
      <c r="D11" s="2">
        <v>39</v>
      </c>
      <c r="E11" s="2" t="s">
        <v>68</v>
      </c>
      <c r="F11" s="2" t="s">
        <v>41</v>
      </c>
      <c r="G11" s="2" t="s">
        <v>27</v>
      </c>
      <c r="H11" s="3">
        <v>43647</v>
      </c>
      <c r="I11" s="2" t="s">
        <v>28</v>
      </c>
      <c r="J11" s="2">
        <v>59000</v>
      </c>
      <c r="K11" s="2" t="s">
        <v>29</v>
      </c>
      <c r="L11" s="2">
        <v>5</v>
      </c>
      <c r="M11" s="2">
        <v>3</v>
      </c>
      <c r="N11" s="2">
        <v>44</v>
      </c>
      <c r="O11" s="2" t="s">
        <v>30</v>
      </c>
      <c r="P11" t="str">
        <f t="shared" si="0"/>
        <v>Bucharest</v>
      </c>
      <c r="Q11" t="str">
        <f t="shared" si="1"/>
        <v>Romania</v>
      </c>
      <c r="R11">
        <f t="shared" si="2"/>
        <v>2019</v>
      </c>
      <c r="S11">
        <f t="shared" ca="1" si="3"/>
        <v>7.1</v>
      </c>
      <c r="T11">
        <f t="shared" si="4"/>
        <v>3</v>
      </c>
      <c r="U11" t="str">
        <f t="shared" si="5"/>
        <v>€45k-€60k</v>
      </c>
      <c r="V11">
        <f t="shared" si="6"/>
        <v>1</v>
      </c>
    </row>
    <row r="12" spans="1:22" x14ac:dyDescent="0.35">
      <c r="A12" s="2" t="s">
        <v>69</v>
      </c>
      <c r="B12" s="2" t="s">
        <v>70</v>
      </c>
      <c r="C12" s="2" t="s">
        <v>24</v>
      </c>
      <c r="D12" s="2">
        <v>52</v>
      </c>
      <c r="E12" s="2" t="s">
        <v>71</v>
      </c>
      <c r="F12" s="2" t="s">
        <v>45</v>
      </c>
      <c r="G12" s="2" t="s">
        <v>27</v>
      </c>
      <c r="H12" s="3">
        <v>42506</v>
      </c>
      <c r="I12" s="2" t="s">
        <v>59</v>
      </c>
      <c r="J12" s="2">
        <v>82000</v>
      </c>
      <c r="K12" s="2" t="s">
        <v>37</v>
      </c>
      <c r="L12" s="2">
        <v>4</v>
      </c>
      <c r="M12" s="2">
        <v>7</v>
      </c>
      <c r="N12" s="2">
        <v>20</v>
      </c>
      <c r="O12" s="2" t="s">
        <v>30</v>
      </c>
      <c r="P12" t="str">
        <f t="shared" si="0"/>
        <v>Hamburg</v>
      </c>
      <c r="Q12" t="str">
        <f t="shared" si="1"/>
        <v>Germany</v>
      </c>
      <c r="R12">
        <f t="shared" si="2"/>
        <v>2016</v>
      </c>
      <c r="S12">
        <f t="shared" ca="1" si="3"/>
        <v>10.199999999999999</v>
      </c>
      <c r="T12">
        <f t="shared" si="4"/>
        <v>2</v>
      </c>
      <c r="U12" t="str">
        <f t="shared" si="5"/>
        <v>€75k+</v>
      </c>
      <c r="V12">
        <f t="shared" si="6"/>
        <v>1</v>
      </c>
    </row>
    <row r="13" spans="1:22" x14ac:dyDescent="0.35">
      <c r="A13" s="2" t="s">
        <v>72</v>
      </c>
      <c r="B13" s="2" t="s">
        <v>73</v>
      </c>
      <c r="C13" s="2" t="s">
        <v>33</v>
      </c>
      <c r="D13" s="2">
        <v>33</v>
      </c>
      <c r="E13" s="2" t="s">
        <v>74</v>
      </c>
      <c r="F13" s="2" t="s">
        <v>35</v>
      </c>
      <c r="G13" s="2" t="s">
        <v>27</v>
      </c>
      <c r="H13" s="3">
        <v>44473</v>
      </c>
      <c r="I13" s="2" t="s">
        <v>36</v>
      </c>
      <c r="J13" s="2">
        <v>57000</v>
      </c>
      <c r="K13" s="2" t="s">
        <v>29</v>
      </c>
      <c r="L13" s="2">
        <v>5</v>
      </c>
      <c r="M13" s="2">
        <v>5</v>
      </c>
      <c r="N13" s="2">
        <v>34</v>
      </c>
      <c r="O13" s="2" t="s">
        <v>30</v>
      </c>
      <c r="P13" t="str">
        <f t="shared" si="0"/>
        <v>Brussels</v>
      </c>
      <c r="Q13" t="str">
        <f t="shared" si="1"/>
        <v>Belgium</v>
      </c>
      <c r="R13">
        <f t="shared" si="2"/>
        <v>2021</v>
      </c>
      <c r="S13">
        <f t="shared" ca="1" si="3"/>
        <v>4.9000000000000004</v>
      </c>
      <c r="T13">
        <f t="shared" si="4"/>
        <v>3</v>
      </c>
      <c r="U13" t="str">
        <f t="shared" si="5"/>
        <v>€45k-€60k</v>
      </c>
      <c r="V13">
        <f t="shared" si="6"/>
        <v>1</v>
      </c>
    </row>
    <row r="14" spans="1:22" x14ac:dyDescent="0.35">
      <c r="A14" s="2" t="s">
        <v>75</v>
      </c>
      <c r="B14" s="2" t="s">
        <v>76</v>
      </c>
      <c r="C14" s="2" t="s">
        <v>24</v>
      </c>
      <c r="D14" s="2">
        <v>28</v>
      </c>
      <c r="E14" s="2" t="s">
        <v>77</v>
      </c>
      <c r="F14" s="2" t="s">
        <v>26</v>
      </c>
      <c r="G14" s="2" t="s">
        <v>50</v>
      </c>
      <c r="H14" s="3">
        <v>45460</v>
      </c>
      <c r="I14" s="2" t="s">
        <v>55</v>
      </c>
      <c r="J14" s="2">
        <v>39000</v>
      </c>
      <c r="K14" s="2" t="s">
        <v>37</v>
      </c>
      <c r="L14" s="2">
        <v>3</v>
      </c>
      <c r="M14" s="2">
        <v>9</v>
      </c>
      <c r="N14" s="2">
        <v>18</v>
      </c>
      <c r="O14" s="2" t="s">
        <v>30</v>
      </c>
      <c r="P14" t="str">
        <f t="shared" si="0"/>
        <v>Lisbon</v>
      </c>
      <c r="Q14" t="str">
        <f t="shared" si="1"/>
        <v>Portugal</v>
      </c>
      <c r="R14">
        <f t="shared" si="2"/>
        <v>2024</v>
      </c>
      <c r="S14">
        <f t="shared" ca="1" si="3"/>
        <v>2.2000000000000002</v>
      </c>
      <c r="T14">
        <f t="shared" si="4"/>
        <v>2</v>
      </c>
      <c r="U14" t="str">
        <f t="shared" si="5"/>
        <v>Under €45k</v>
      </c>
      <c r="V14">
        <f t="shared" si="6"/>
        <v>1</v>
      </c>
    </row>
    <row r="15" spans="1:22" x14ac:dyDescent="0.35">
      <c r="A15" s="2" t="s">
        <v>78</v>
      </c>
      <c r="B15" s="2" t="s">
        <v>79</v>
      </c>
      <c r="C15" s="2" t="s">
        <v>33</v>
      </c>
      <c r="D15" s="2">
        <v>43</v>
      </c>
      <c r="E15" s="2" t="s">
        <v>80</v>
      </c>
      <c r="F15" s="2" t="s">
        <v>41</v>
      </c>
      <c r="G15" s="2" t="s">
        <v>27</v>
      </c>
      <c r="H15" s="3">
        <v>42821</v>
      </c>
      <c r="I15" s="2" t="s">
        <v>59</v>
      </c>
      <c r="J15" s="2">
        <v>76000</v>
      </c>
      <c r="K15" s="2" t="s">
        <v>29</v>
      </c>
      <c r="L15" s="2">
        <v>4</v>
      </c>
      <c r="M15" s="2">
        <v>11</v>
      </c>
      <c r="N15" s="2">
        <v>38</v>
      </c>
      <c r="O15" s="2" t="s">
        <v>30</v>
      </c>
      <c r="P15" t="str">
        <f t="shared" si="0"/>
        <v>Copenhagen</v>
      </c>
      <c r="Q15" t="str">
        <f t="shared" si="1"/>
        <v>Denmark</v>
      </c>
      <c r="R15">
        <f t="shared" si="2"/>
        <v>2017</v>
      </c>
      <c r="S15">
        <f t="shared" ca="1" si="3"/>
        <v>9.4</v>
      </c>
      <c r="T15">
        <f t="shared" si="4"/>
        <v>3</v>
      </c>
      <c r="U15" t="str">
        <f t="shared" si="5"/>
        <v>€75k+</v>
      </c>
      <c r="V15">
        <f t="shared" si="6"/>
        <v>1</v>
      </c>
    </row>
    <row r="16" spans="1:22" x14ac:dyDescent="0.35">
      <c r="A16" s="2" t="s">
        <v>81</v>
      </c>
      <c r="B16" s="2" t="s">
        <v>82</v>
      </c>
      <c r="C16" s="2" t="s">
        <v>24</v>
      </c>
      <c r="D16" s="2">
        <v>35</v>
      </c>
      <c r="E16" s="2" t="s">
        <v>83</v>
      </c>
      <c r="F16" s="2" t="s">
        <v>54</v>
      </c>
      <c r="G16" s="2" t="s">
        <v>27</v>
      </c>
      <c r="H16" s="3">
        <v>44592</v>
      </c>
      <c r="I16" s="2" t="s">
        <v>36</v>
      </c>
      <c r="J16" s="2">
        <v>54000</v>
      </c>
      <c r="K16" s="2" t="s">
        <v>37</v>
      </c>
      <c r="L16" s="2">
        <v>3</v>
      </c>
      <c r="M16" s="2">
        <v>14</v>
      </c>
      <c r="N16" s="2">
        <v>26</v>
      </c>
      <c r="O16" s="2" t="s">
        <v>84</v>
      </c>
      <c r="P16" t="str">
        <f t="shared" si="0"/>
        <v>Rome</v>
      </c>
      <c r="Q16" t="str">
        <f t="shared" si="1"/>
        <v>Italy</v>
      </c>
      <c r="R16">
        <f t="shared" si="2"/>
        <v>2022</v>
      </c>
      <c r="S16">
        <f t="shared" ca="1" si="3"/>
        <v>4.5</v>
      </c>
      <c r="T16">
        <f t="shared" si="4"/>
        <v>2</v>
      </c>
      <c r="U16" t="str">
        <f t="shared" si="5"/>
        <v>€45k-€60k</v>
      </c>
      <c r="V16">
        <f t="shared" si="6"/>
        <v>1</v>
      </c>
    </row>
    <row r="17" spans="1:22" x14ac:dyDescent="0.35">
      <c r="A17" s="2" t="s">
        <v>85</v>
      </c>
      <c r="B17" s="2" t="s">
        <v>86</v>
      </c>
      <c r="C17" s="2" t="s">
        <v>33</v>
      </c>
      <c r="D17" s="2">
        <v>30</v>
      </c>
      <c r="E17" s="2" t="s">
        <v>87</v>
      </c>
      <c r="F17" s="2" t="s">
        <v>45</v>
      </c>
      <c r="G17" s="2" t="s">
        <v>27</v>
      </c>
      <c r="H17" s="3">
        <v>45054</v>
      </c>
      <c r="I17" s="2" t="s">
        <v>55</v>
      </c>
      <c r="J17" s="2">
        <v>41000</v>
      </c>
      <c r="K17" s="2" t="s">
        <v>37</v>
      </c>
      <c r="L17" s="2">
        <v>4</v>
      </c>
      <c r="M17" s="2">
        <v>6</v>
      </c>
      <c r="N17" s="2">
        <v>32</v>
      </c>
      <c r="O17" s="2" t="s">
        <v>30</v>
      </c>
      <c r="P17" t="str">
        <f t="shared" si="0"/>
        <v>Barcelona</v>
      </c>
      <c r="Q17" t="str">
        <f t="shared" si="1"/>
        <v>Spain</v>
      </c>
      <c r="R17">
        <f t="shared" si="2"/>
        <v>2023</v>
      </c>
      <c r="S17">
        <f t="shared" ca="1" si="3"/>
        <v>3.3</v>
      </c>
      <c r="T17">
        <f t="shared" si="4"/>
        <v>2</v>
      </c>
      <c r="U17" t="str">
        <f t="shared" si="5"/>
        <v>Under €45k</v>
      </c>
      <c r="V17">
        <f t="shared" si="6"/>
        <v>1</v>
      </c>
    </row>
    <row r="18" spans="1:22" x14ac:dyDescent="0.35">
      <c r="A18" s="2" t="s">
        <v>88</v>
      </c>
      <c r="B18" s="2" t="s">
        <v>89</v>
      </c>
      <c r="C18" s="2" t="s">
        <v>24</v>
      </c>
      <c r="D18" s="2">
        <v>47</v>
      </c>
      <c r="E18" s="2" t="s">
        <v>90</v>
      </c>
      <c r="F18" s="2" t="s">
        <v>49</v>
      </c>
      <c r="G18" s="2" t="s">
        <v>27</v>
      </c>
      <c r="H18" s="3">
        <v>42233</v>
      </c>
      <c r="I18" s="2" t="s">
        <v>28</v>
      </c>
      <c r="J18" s="2">
        <v>70000</v>
      </c>
      <c r="K18" s="2" t="s">
        <v>29</v>
      </c>
      <c r="L18" s="2">
        <v>5</v>
      </c>
      <c r="M18" s="2">
        <v>2</v>
      </c>
      <c r="N18" s="2">
        <v>48</v>
      </c>
      <c r="O18" s="2" t="s">
        <v>30</v>
      </c>
      <c r="P18" t="str">
        <f t="shared" si="0"/>
        <v>Gothenburg</v>
      </c>
      <c r="Q18" t="str">
        <f t="shared" si="1"/>
        <v>Sweden</v>
      </c>
      <c r="R18">
        <f t="shared" si="2"/>
        <v>2015</v>
      </c>
      <c r="S18">
        <f t="shared" ca="1" si="3"/>
        <v>11</v>
      </c>
      <c r="T18">
        <f t="shared" si="4"/>
        <v>3</v>
      </c>
      <c r="U18" t="str">
        <f t="shared" si="5"/>
        <v>€60k-€75k</v>
      </c>
      <c r="V18">
        <f t="shared" si="6"/>
        <v>1</v>
      </c>
    </row>
    <row r="19" spans="1:22" x14ac:dyDescent="0.35">
      <c r="A19" s="2" t="s">
        <v>91</v>
      </c>
      <c r="B19" s="2" t="s">
        <v>92</v>
      </c>
      <c r="C19" s="2" t="s">
        <v>33</v>
      </c>
      <c r="D19" s="2">
        <v>26</v>
      </c>
      <c r="E19" s="2" t="s">
        <v>93</v>
      </c>
      <c r="F19" s="2" t="s">
        <v>35</v>
      </c>
      <c r="G19" s="2" t="s">
        <v>50</v>
      </c>
      <c r="H19" s="3">
        <v>45537</v>
      </c>
      <c r="I19" s="2" t="s">
        <v>55</v>
      </c>
      <c r="J19" s="2">
        <v>37000</v>
      </c>
      <c r="K19" s="2" t="s">
        <v>37</v>
      </c>
      <c r="L19" s="2">
        <v>3</v>
      </c>
      <c r="M19" s="2">
        <v>8</v>
      </c>
      <c r="N19" s="2">
        <v>12</v>
      </c>
      <c r="O19" s="2" t="s">
        <v>30</v>
      </c>
      <c r="P19" t="str">
        <f t="shared" si="0"/>
        <v>Krakow</v>
      </c>
      <c r="Q19" t="str">
        <f t="shared" si="1"/>
        <v>Poland</v>
      </c>
      <c r="R19">
        <f t="shared" si="2"/>
        <v>2024</v>
      </c>
      <c r="S19">
        <f t="shared" ca="1" si="3"/>
        <v>1.9</v>
      </c>
      <c r="T19">
        <f t="shared" si="4"/>
        <v>2</v>
      </c>
      <c r="U19" t="str">
        <f t="shared" si="5"/>
        <v>Under €45k</v>
      </c>
      <c r="V19">
        <f t="shared" si="6"/>
        <v>1</v>
      </c>
    </row>
    <row r="20" spans="1:22" x14ac:dyDescent="0.35">
      <c r="A20" s="2" t="s">
        <v>94</v>
      </c>
      <c r="B20" s="2" t="s">
        <v>95</v>
      </c>
      <c r="C20" s="2" t="s">
        <v>24</v>
      </c>
      <c r="D20" s="2">
        <v>40</v>
      </c>
      <c r="E20" s="2" t="s">
        <v>96</v>
      </c>
      <c r="F20" s="2" t="s">
        <v>26</v>
      </c>
      <c r="G20" s="2" t="s">
        <v>27</v>
      </c>
      <c r="H20" s="3">
        <v>43885</v>
      </c>
      <c r="I20" s="2" t="s">
        <v>28</v>
      </c>
      <c r="J20" s="2">
        <v>74000</v>
      </c>
      <c r="K20" s="2" t="s">
        <v>29</v>
      </c>
      <c r="L20" s="2">
        <v>4</v>
      </c>
      <c r="M20" s="2">
        <v>7</v>
      </c>
      <c r="N20" s="2">
        <v>40</v>
      </c>
      <c r="O20" s="2" t="s">
        <v>30</v>
      </c>
      <c r="P20" t="str">
        <f t="shared" si="0"/>
        <v>Marseille</v>
      </c>
      <c r="Q20" t="str">
        <f t="shared" si="1"/>
        <v>France</v>
      </c>
      <c r="R20">
        <f t="shared" si="2"/>
        <v>2020</v>
      </c>
      <c r="S20">
        <f t="shared" ca="1" si="3"/>
        <v>6.5</v>
      </c>
      <c r="T20">
        <f t="shared" si="4"/>
        <v>3</v>
      </c>
      <c r="U20" t="str">
        <f t="shared" si="5"/>
        <v>€60k-€75k</v>
      </c>
      <c r="V20">
        <f t="shared" si="6"/>
        <v>1</v>
      </c>
    </row>
    <row r="21" spans="1:22" x14ac:dyDescent="0.35">
      <c r="A21" s="2" t="s">
        <v>97</v>
      </c>
      <c r="B21" s="2" t="s">
        <v>98</v>
      </c>
      <c r="C21" s="2" t="s">
        <v>33</v>
      </c>
      <c r="D21" s="2">
        <v>37</v>
      </c>
      <c r="E21" s="2" t="s">
        <v>99</v>
      </c>
      <c r="F21" s="2" t="s">
        <v>41</v>
      </c>
      <c r="G21" s="2" t="s">
        <v>27</v>
      </c>
      <c r="H21" s="3">
        <v>44515</v>
      </c>
      <c r="I21" s="2" t="s">
        <v>28</v>
      </c>
      <c r="J21" s="2">
        <v>67000</v>
      </c>
      <c r="K21" s="2" t="s">
        <v>37</v>
      </c>
      <c r="L21" s="2">
        <v>4</v>
      </c>
      <c r="M21" s="2">
        <v>9</v>
      </c>
      <c r="N21" s="2">
        <v>36</v>
      </c>
      <c r="O21" s="2" t="s">
        <v>30</v>
      </c>
      <c r="P21" t="str">
        <f t="shared" si="0"/>
        <v>Vienna</v>
      </c>
      <c r="Q21" t="str">
        <f t="shared" si="1"/>
        <v>Austria</v>
      </c>
      <c r="R21">
        <f t="shared" si="2"/>
        <v>2021</v>
      </c>
      <c r="S21">
        <f t="shared" ca="1" si="3"/>
        <v>4.7</v>
      </c>
      <c r="T21">
        <f t="shared" si="4"/>
        <v>2</v>
      </c>
      <c r="U21" t="str">
        <f t="shared" si="5"/>
        <v>€60k-€75k</v>
      </c>
      <c r="V21">
        <f t="shared" si="6"/>
        <v>1</v>
      </c>
    </row>
    <row r="22" spans="1:22" x14ac:dyDescent="0.35">
      <c r="A22" s="2" t="s">
        <v>100</v>
      </c>
      <c r="B22" s="2" t="s">
        <v>101</v>
      </c>
      <c r="C22" s="2" t="s">
        <v>24</v>
      </c>
      <c r="D22" s="2">
        <v>44</v>
      </c>
      <c r="E22" s="2" t="s">
        <v>102</v>
      </c>
      <c r="F22" s="2" t="s">
        <v>49</v>
      </c>
      <c r="G22" s="2" t="s">
        <v>27</v>
      </c>
      <c r="H22" s="3">
        <v>43199</v>
      </c>
      <c r="I22" s="2" t="s">
        <v>59</v>
      </c>
      <c r="J22" s="2">
        <v>63000</v>
      </c>
      <c r="K22" s="2" t="s">
        <v>37</v>
      </c>
      <c r="L22" s="2">
        <v>3</v>
      </c>
      <c r="M22" s="2">
        <v>13</v>
      </c>
      <c r="N22" s="2">
        <v>22</v>
      </c>
      <c r="O22" s="2" t="s">
        <v>84</v>
      </c>
      <c r="P22" t="str">
        <f t="shared" si="0"/>
        <v>Bratislava</v>
      </c>
      <c r="Q22" t="str">
        <f t="shared" si="1"/>
        <v>Slovakia</v>
      </c>
      <c r="R22">
        <f t="shared" si="2"/>
        <v>2018</v>
      </c>
      <c r="S22">
        <f t="shared" ca="1" si="3"/>
        <v>8.3000000000000007</v>
      </c>
      <c r="T22">
        <f t="shared" si="4"/>
        <v>2</v>
      </c>
      <c r="U22" t="str">
        <f t="shared" si="5"/>
        <v>€60k-€75k</v>
      </c>
      <c r="V22">
        <f t="shared" si="6"/>
        <v>1</v>
      </c>
    </row>
    <row r="23" spans="1:22" x14ac:dyDescent="0.35">
      <c r="A23" s="2" t="s">
        <v>103</v>
      </c>
      <c r="B23" s="2" t="s">
        <v>104</v>
      </c>
      <c r="C23" s="2" t="s">
        <v>33</v>
      </c>
      <c r="D23" s="2">
        <v>32</v>
      </c>
      <c r="E23" s="2" t="s">
        <v>105</v>
      </c>
      <c r="F23" s="2" t="s">
        <v>54</v>
      </c>
      <c r="G23" s="2" t="s">
        <v>27</v>
      </c>
      <c r="H23" s="3">
        <v>44760</v>
      </c>
      <c r="I23" s="2" t="s">
        <v>36</v>
      </c>
      <c r="J23" s="2">
        <v>47000</v>
      </c>
      <c r="K23" s="2" t="s">
        <v>29</v>
      </c>
      <c r="L23" s="2">
        <v>5</v>
      </c>
      <c r="M23" s="2">
        <v>5</v>
      </c>
      <c r="N23" s="2">
        <v>30</v>
      </c>
      <c r="O23" s="2" t="s">
        <v>30</v>
      </c>
      <c r="P23" t="str">
        <f t="shared" si="0"/>
        <v>Porto</v>
      </c>
      <c r="Q23" t="str">
        <f t="shared" si="1"/>
        <v>Portugal</v>
      </c>
      <c r="R23">
        <f t="shared" si="2"/>
        <v>2022</v>
      </c>
      <c r="S23">
        <f t="shared" ca="1" si="3"/>
        <v>4.0999999999999996</v>
      </c>
      <c r="T23">
        <f t="shared" si="4"/>
        <v>3</v>
      </c>
      <c r="U23" t="str">
        <f t="shared" si="5"/>
        <v>€45k-€60k</v>
      </c>
      <c r="V23">
        <f t="shared" si="6"/>
        <v>1</v>
      </c>
    </row>
    <row r="24" spans="1:22" x14ac:dyDescent="0.35">
      <c r="A24" s="2" t="s">
        <v>106</v>
      </c>
      <c r="B24" s="2" t="s">
        <v>107</v>
      </c>
      <c r="C24" s="2" t="s">
        <v>24</v>
      </c>
      <c r="D24" s="2">
        <v>29</v>
      </c>
      <c r="E24" s="2" t="s">
        <v>108</v>
      </c>
      <c r="F24" s="2" t="s">
        <v>26</v>
      </c>
      <c r="G24" s="2" t="s">
        <v>27</v>
      </c>
      <c r="H24" s="3">
        <v>45180</v>
      </c>
      <c r="I24" s="2" t="s">
        <v>55</v>
      </c>
      <c r="J24" s="2">
        <v>45000</v>
      </c>
      <c r="K24" s="2" t="s">
        <v>37</v>
      </c>
      <c r="L24" s="2">
        <v>4</v>
      </c>
      <c r="M24" s="2">
        <v>4</v>
      </c>
      <c r="N24" s="2">
        <v>35</v>
      </c>
      <c r="O24" s="2" t="s">
        <v>30</v>
      </c>
      <c r="P24" t="str">
        <f t="shared" si="0"/>
        <v>Frankfurt</v>
      </c>
      <c r="Q24" t="str">
        <f t="shared" si="1"/>
        <v>Germany</v>
      </c>
      <c r="R24">
        <f t="shared" si="2"/>
        <v>2023</v>
      </c>
      <c r="S24">
        <f t="shared" ca="1" si="3"/>
        <v>2.9</v>
      </c>
      <c r="T24">
        <f t="shared" si="4"/>
        <v>2</v>
      </c>
      <c r="U24" t="str">
        <f t="shared" si="5"/>
        <v>€45k-€60k</v>
      </c>
      <c r="V24">
        <f t="shared" si="6"/>
        <v>1</v>
      </c>
    </row>
    <row r="25" spans="1:22" x14ac:dyDescent="0.35">
      <c r="A25" s="2" t="s">
        <v>109</v>
      </c>
      <c r="B25" s="2" t="s">
        <v>110</v>
      </c>
      <c r="C25" s="2" t="s">
        <v>33</v>
      </c>
      <c r="D25" s="2">
        <v>42</v>
      </c>
      <c r="E25" s="2" t="s">
        <v>34</v>
      </c>
      <c r="F25" s="2" t="s">
        <v>45</v>
      </c>
      <c r="G25" s="2" t="s">
        <v>27</v>
      </c>
      <c r="H25" s="3">
        <v>43073</v>
      </c>
      <c r="I25" s="2" t="s">
        <v>28</v>
      </c>
      <c r="J25" s="2">
        <v>69000</v>
      </c>
      <c r="K25" s="2" t="s">
        <v>29</v>
      </c>
      <c r="L25" s="2">
        <v>5</v>
      </c>
      <c r="M25" s="2">
        <v>6</v>
      </c>
      <c r="N25" s="2">
        <v>40</v>
      </c>
      <c r="O25" s="2" t="s">
        <v>30</v>
      </c>
      <c r="P25" t="str">
        <f t="shared" si="0"/>
        <v>Paris</v>
      </c>
      <c r="Q25" t="str">
        <f t="shared" si="1"/>
        <v>France</v>
      </c>
      <c r="R25">
        <f t="shared" si="2"/>
        <v>2017</v>
      </c>
      <c r="S25">
        <f t="shared" ca="1" si="3"/>
        <v>8.6999999999999993</v>
      </c>
      <c r="T25">
        <f t="shared" si="4"/>
        <v>3</v>
      </c>
      <c r="U25" t="str">
        <f t="shared" si="5"/>
        <v>€60k-€75k</v>
      </c>
      <c r="V25">
        <f t="shared" si="6"/>
        <v>1</v>
      </c>
    </row>
    <row r="26" spans="1:22" x14ac:dyDescent="0.35">
      <c r="A26" s="2" t="s">
        <v>111</v>
      </c>
      <c r="B26" s="2" t="s">
        <v>112</v>
      </c>
      <c r="C26" s="2" t="s">
        <v>24</v>
      </c>
      <c r="D26" s="2">
        <v>36</v>
      </c>
      <c r="E26" s="2" t="s">
        <v>113</v>
      </c>
      <c r="F26" s="2" t="s">
        <v>35</v>
      </c>
      <c r="G26" s="2" t="s">
        <v>50</v>
      </c>
      <c r="H26" s="3">
        <v>45376</v>
      </c>
      <c r="I26" s="2" t="s">
        <v>36</v>
      </c>
      <c r="J26" s="2">
        <v>44000</v>
      </c>
      <c r="K26" s="2" t="s">
        <v>37</v>
      </c>
      <c r="L26" s="2">
        <v>3</v>
      </c>
      <c r="M26" s="2">
        <v>11</v>
      </c>
      <c r="N26" s="2">
        <v>18</v>
      </c>
      <c r="O26" s="2" t="s">
        <v>84</v>
      </c>
      <c r="P26" t="str">
        <f t="shared" si="0"/>
        <v>Turin</v>
      </c>
      <c r="Q26" t="str">
        <f t="shared" si="1"/>
        <v>Italy</v>
      </c>
      <c r="R26">
        <f t="shared" si="2"/>
        <v>2024</v>
      </c>
      <c r="S26">
        <f t="shared" ca="1" si="3"/>
        <v>2.4</v>
      </c>
      <c r="T26">
        <f t="shared" si="4"/>
        <v>2</v>
      </c>
      <c r="U26" t="str">
        <f t="shared" si="5"/>
        <v>Under €45k</v>
      </c>
      <c r="V26">
        <f t="shared" si="6"/>
        <v>1</v>
      </c>
    </row>
    <row r="27" spans="1:22" x14ac:dyDescent="0.35">
      <c r="A27" s="2" t="s">
        <v>114</v>
      </c>
      <c r="B27" s="2" t="s">
        <v>115</v>
      </c>
      <c r="C27" s="2" t="s">
        <v>33</v>
      </c>
      <c r="D27" s="2">
        <v>34</v>
      </c>
      <c r="E27" s="2" t="s">
        <v>102</v>
      </c>
      <c r="F27" s="2" t="s">
        <v>41</v>
      </c>
      <c r="G27" s="2" t="s">
        <v>27</v>
      </c>
      <c r="H27" s="3">
        <v>44011</v>
      </c>
      <c r="I27" s="2" t="s">
        <v>36</v>
      </c>
      <c r="J27" s="2">
        <v>51000</v>
      </c>
      <c r="K27" s="2" t="s">
        <v>37</v>
      </c>
      <c r="L27" s="2">
        <v>4</v>
      </c>
      <c r="M27" s="2">
        <v>8</v>
      </c>
      <c r="N27" s="2">
        <v>27</v>
      </c>
      <c r="O27" s="2" t="s">
        <v>30</v>
      </c>
      <c r="P27" t="str">
        <f t="shared" si="0"/>
        <v>Bratislava</v>
      </c>
      <c r="Q27" t="str">
        <f t="shared" si="1"/>
        <v>Slovakia</v>
      </c>
      <c r="R27">
        <f t="shared" si="2"/>
        <v>2020</v>
      </c>
      <c r="S27">
        <f t="shared" ca="1" si="3"/>
        <v>6.1</v>
      </c>
      <c r="T27">
        <f t="shared" si="4"/>
        <v>2</v>
      </c>
      <c r="U27" t="str">
        <f t="shared" si="5"/>
        <v>€45k-€60k</v>
      </c>
      <c r="V27">
        <f t="shared" si="6"/>
        <v>1</v>
      </c>
    </row>
    <row r="28" spans="1:22" x14ac:dyDescent="0.35">
      <c r="A28" s="2" t="s">
        <v>116</v>
      </c>
      <c r="B28" s="2" t="s">
        <v>117</v>
      </c>
      <c r="C28" s="2" t="s">
        <v>24</v>
      </c>
      <c r="D28" s="2">
        <v>48</v>
      </c>
      <c r="E28" s="2" t="s">
        <v>118</v>
      </c>
      <c r="F28" s="2" t="s">
        <v>49</v>
      </c>
      <c r="G28" s="2" t="s">
        <v>27</v>
      </c>
      <c r="H28" s="3">
        <v>42653</v>
      </c>
      <c r="I28" s="2" t="s">
        <v>59</v>
      </c>
      <c r="J28" s="2">
        <v>85000</v>
      </c>
      <c r="K28" s="2" t="s">
        <v>29</v>
      </c>
      <c r="L28" s="2">
        <v>5</v>
      </c>
      <c r="M28" s="2">
        <v>4</v>
      </c>
      <c r="N28" s="2">
        <v>45</v>
      </c>
      <c r="O28" s="2" t="s">
        <v>30</v>
      </c>
      <c r="P28" t="str">
        <f t="shared" si="0"/>
        <v>Amsterdam</v>
      </c>
      <c r="Q28" t="str">
        <f t="shared" si="1"/>
        <v>Netherlands</v>
      </c>
      <c r="R28">
        <f t="shared" si="2"/>
        <v>2016</v>
      </c>
      <c r="S28">
        <f t="shared" ca="1" si="3"/>
        <v>9.8000000000000007</v>
      </c>
      <c r="T28">
        <f t="shared" si="4"/>
        <v>3</v>
      </c>
      <c r="U28" t="str">
        <f t="shared" si="5"/>
        <v>€75k+</v>
      </c>
      <c r="V28">
        <f t="shared" si="6"/>
        <v>1</v>
      </c>
    </row>
    <row r="29" spans="1:22" x14ac:dyDescent="0.35">
      <c r="A29" s="2" t="s">
        <v>119</v>
      </c>
      <c r="B29" s="2" t="s">
        <v>120</v>
      </c>
      <c r="C29" s="2" t="s">
        <v>33</v>
      </c>
      <c r="D29" s="2">
        <v>28</v>
      </c>
      <c r="E29" s="2" t="s">
        <v>121</v>
      </c>
      <c r="F29" s="2" t="s">
        <v>54</v>
      </c>
      <c r="G29" s="2" t="s">
        <v>27</v>
      </c>
      <c r="H29" s="3">
        <v>44942</v>
      </c>
      <c r="I29" s="2" t="s">
        <v>55</v>
      </c>
      <c r="J29" s="2">
        <v>43000</v>
      </c>
      <c r="K29" s="2" t="s">
        <v>37</v>
      </c>
      <c r="L29" s="2">
        <v>4</v>
      </c>
      <c r="M29" s="2">
        <v>7</v>
      </c>
      <c r="N29" s="2">
        <v>29</v>
      </c>
      <c r="O29" s="2" t="s">
        <v>30</v>
      </c>
      <c r="P29" t="str">
        <f t="shared" si="0"/>
        <v>Malmö</v>
      </c>
      <c r="Q29" t="str">
        <f t="shared" si="1"/>
        <v>Sweden</v>
      </c>
      <c r="R29">
        <f t="shared" si="2"/>
        <v>2023</v>
      </c>
      <c r="S29">
        <f t="shared" ca="1" si="3"/>
        <v>3.6</v>
      </c>
      <c r="T29">
        <f t="shared" si="4"/>
        <v>2</v>
      </c>
      <c r="U29" t="str">
        <f t="shared" si="5"/>
        <v>Under €45k</v>
      </c>
      <c r="V29">
        <f t="shared" si="6"/>
        <v>1</v>
      </c>
    </row>
    <row r="30" spans="1:22" x14ac:dyDescent="0.35">
      <c r="A30" s="2" t="s">
        <v>122</v>
      </c>
      <c r="B30" s="2" t="s">
        <v>123</v>
      </c>
      <c r="C30" s="2" t="s">
        <v>24</v>
      </c>
      <c r="D30" s="2">
        <v>39</v>
      </c>
      <c r="E30" s="2" t="s">
        <v>62</v>
      </c>
      <c r="F30" s="2" t="s">
        <v>26</v>
      </c>
      <c r="G30" s="2" t="s">
        <v>27</v>
      </c>
      <c r="H30" s="3">
        <v>43731</v>
      </c>
      <c r="I30" s="2" t="s">
        <v>28</v>
      </c>
      <c r="J30" s="2">
        <v>58000</v>
      </c>
      <c r="K30" s="2" t="s">
        <v>37</v>
      </c>
      <c r="L30" s="2">
        <v>3</v>
      </c>
      <c r="M30" s="2">
        <v>16</v>
      </c>
      <c r="N30" s="2">
        <v>24</v>
      </c>
      <c r="O30" s="2" t="s">
        <v>84</v>
      </c>
      <c r="P30" t="str">
        <f t="shared" si="0"/>
        <v>Warsaw</v>
      </c>
      <c r="Q30" t="str">
        <f t="shared" si="1"/>
        <v>Poland</v>
      </c>
      <c r="R30">
        <f t="shared" si="2"/>
        <v>2019</v>
      </c>
      <c r="S30">
        <f t="shared" ca="1" si="3"/>
        <v>6.9</v>
      </c>
      <c r="T30">
        <f t="shared" si="4"/>
        <v>2</v>
      </c>
      <c r="U30" t="str">
        <f t="shared" si="5"/>
        <v>€45k-€60k</v>
      </c>
      <c r="V30">
        <f t="shared" si="6"/>
        <v>1</v>
      </c>
    </row>
    <row r="31" spans="1:22" x14ac:dyDescent="0.35">
      <c r="A31" s="2" t="s">
        <v>124</v>
      </c>
      <c r="B31" s="2" t="s">
        <v>125</v>
      </c>
      <c r="C31" s="2" t="s">
        <v>33</v>
      </c>
      <c r="D31" s="2">
        <v>46</v>
      </c>
      <c r="E31" s="2" t="s">
        <v>126</v>
      </c>
      <c r="F31" s="2" t="s">
        <v>41</v>
      </c>
      <c r="G31" s="2" t="s">
        <v>27</v>
      </c>
      <c r="H31" s="3">
        <v>43143</v>
      </c>
      <c r="I31" s="2" t="s">
        <v>59</v>
      </c>
      <c r="J31" s="2">
        <v>91000</v>
      </c>
      <c r="K31" s="2" t="s">
        <v>29</v>
      </c>
      <c r="L31" s="2">
        <v>5</v>
      </c>
      <c r="M31" s="2">
        <v>5</v>
      </c>
      <c r="N31" s="2">
        <v>42</v>
      </c>
      <c r="O31" s="2" t="s">
        <v>30</v>
      </c>
      <c r="P31" t="str">
        <f t="shared" si="0"/>
        <v>Luxembourg</v>
      </c>
      <c r="Q31" t="str">
        <f t="shared" si="1"/>
        <v>Luxembourg</v>
      </c>
      <c r="R31">
        <f t="shared" si="2"/>
        <v>2018</v>
      </c>
      <c r="S31">
        <f t="shared" ca="1" si="3"/>
        <v>8.5</v>
      </c>
      <c r="T31">
        <f t="shared" si="4"/>
        <v>3</v>
      </c>
      <c r="U31" t="str">
        <f t="shared" si="5"/>
        <v>€75k+</v>
      </c>
      <c r="V31">
        <f t="shared" si="6"/>
        <v>1</v>
      </c>
    </row>
    <row r="32" spans="1:22" x14ac:dyDescent="0.35">
      <c r="A32" s="2" t="s">
        <v>127</v>
      </c>
      <c r="B32" s="2" t="s">
        <v>128</v>
      </c>
      <c r="C32" s="2" t="s">
        <v>24</v>
      </c>
      <c r="D32" s="2">
        <v>31</v>
      </c>
      <c r="E32" s="2" t="s">
        <v>129</v>
      </c>
      <c r="F32" s="2" t="s">
        <v>35</v>
      </c>
      <c r="G32" s="2" t="s">
        <v>27</v>
      </c>
      <c r="H32" s="3">
        <v>44837</v>
      </c>
      <c r="I32" s="2" t="s">
        <v>36</v>
      </c>
      <c r="J32" s="2">
        <v>49000</v>
      </c>
      <c r="K32" s="2" t="s">
        <v>37</v>
      </c>
      <c r="L32" s="2">
        <v>4</v>
      </c>
      <c r="M32" s="2">
        <v>9</v>
      </c>
      <c r="N32" s="2">
        <v>31</v>
      </c>
      <c r="O32" s="2" t="s">
        <v>30</v>
      </c>
      <c r="P32" t="str">
        <f t="shared" si="0"/>
        <v>Valencia</v>
      </c>
      <c r="Q32" t="str">
        <f t="shared" si="1"/>
        <v>Spain</v>
      </c>
      <c r="R32">
        <f t="shared" si="2"/>
        <v>2022</v>
      </c>
      <c r="S32">
        <f t="shared" ca="1" si="3"/>
        <v>3.9</v>
      </c>
      <c r="T32">
        <f t="shared" si="4"/>
        <v>2</v>
      </c>
      <c r="U32" t="str">
        <f t="shared" si="5"/>
        <v>€45k-€60k</v>
      </c>
      <c r="V32">
        <f t="shared" si="6"/>
        <v>1</v>
      </c>
    </row>
    <row r="33" spans="1:22" x14ac:dyDescent="0.35">
      <c r="A33" s="2" t="s">
        <v>130</v>
      </c>
      <c r="B33" s="2" t="s">
        <v>131</v>
      </c>
      <c r="C33" s="2" t="s">
        <v>33</v>
      </c>
      <c r="D33" s="2">
        <v>35</v>
      </c>
      <c r="E33" s="2" t="s">
        <v>74</v>
      </c>
      <c r="F33" s="2" t="s">
        <v>45</v>
      </c>
      <c r="G33" s="2" t="s">
        <v>50</v>
      </c>
      <c r="H33" s="3">
        <v>45432</v>
      </c>
      <c r="I33" s="2" t="s">
        <v>36</v>
      </c>
      <c r="J33" s="2">
        <v>46000</v>
      </c>
      <c r="K33" s="2" t="s">
        <v>37</v>
      </c>
      <c r="L33" s="2">
        <v>3</v>
      </c>
      <c r="M33" s="2">
        <v>14</v>
      </c>
      <c r="N33" s="2">
        <v>15</v>
      </c>
      <c r="O33" s="2" t="s">
        <v>84</v>
      </c>
      <c r="P33" t="str">
        <f t="shared" si="0"/>
        <v>Brussels</v>
      </c>
      <c r="Q33" t="str">
        <f t="shared" si="1"/>
        <v>Belgium</v>
      </c>
      <c r="R33">
        <f t="shared" si="2"/>
        <v>2024</v>
      </c>
      <c r="S33">
        <f t="shared" ca="1" si="3"/>
        <v>2.2000000000000002</v>
      </c>
      <c r="T33">
        <f t="shared" si="4"/>
        <v>2</v>
      </c>
      <c r="U33" t="str">
        <f t="shared" si="5"/>
        <v>€45k-€60k</v>
      </c>
      <c r="V33">
        <f t="shared" si="6"/>
        <v>1</v>
      </c>
    </row>
    <row r="34" spans="1:22" x14ac:dyDescent="0.35">
      <c r="A34" s="2" t="s">
        <v>132</v>
      </c>
      <c r="B34" s="2" t="s">
        <v>133</v>
      </c>
      <c r="C34" s="2" t="s">
        <v>24</v>
      </c>
      <c r="D34" s="2">
        <v>50</v>
      </c>
      <c r="E34" s="2" t="s">
        <v>44</v>
      </c>
      <c r="F34" s="2" t="s">
        <v>49</v>
      </c>
      <c r="G34" s="2" t="s">
        <v>27</v>
      </c>
      <c r="H34" s="3">
        <v>41960</v>
      </c>
      <c r="I34" s="2" t="s">
        <v>28</v>
      </c>
      <c r="J34" s="2">
        <v>73000</v>
      </c>
      <c r="K34" s="2" t="s">
        <v>29</v>
      </c>
      <c r="L34" s="2">
        <v>5</v>
      </c>
      <c r="M34" s="2">
        <v>3</v>
      </c>
      <c r="N34" s="2">
        <v>50</v>
      </c>
      <c r="O34" s="2" t="s">
        <v>30</v>
      </c>
      <c r="P34" t="str">
        <f t="shared" si="0"/>
        <v>Stockholm</v>
      </c>
      <c r="Q34" t="str">
        <f t="shared" si="1"/>
        <v>Sweden</v>
      </c>
      <c r="R34">
        <f t="shared" si="2"/>
        <v>2014</v>
      </c>
      <c r="S34">
        <f t="shared" ca="1" si="3"/>
        <v>11.7</v>
      </c>
      <c r="T34">
        <f t="shared" si="4"/>
        <v>3</v>
      </c>
      <c r="U34" t="str">
        <f t="shared" si="5"/>
        <v>€60k-€75k</v>
      </c>
      <c r="V34">
        <f t="shared" si="6"/>
        <v>1</v>
      </c>
    </row>
    <row r="35" spans="1:22" x14ac:dyDescent="0.35">
      <c r="A35" s="2" t="s">
        <v>134</v>
      </c>
      <c r="B35" s="2" t="s">
        <v>135</v>
      </c>
      <c r="C35" s="2" t="s">
        <v>33</v>
      </c>
      <c r="D35" s="2">
        <v>29</v>
      </c>
      <c r="E35" s="2" t="s">
        <v>136</v>
      </c>
      <c r="F35" s="2" t="s">
        <v>26</v>
      </c>
      <c r="G35" s="2" t="s">
        <v>27</v>
      </c>
      <c r="H35" s="3">
        <v>45117</v>
      </c>
      <c r="I35" s="2" t="s">
        <v>55</v>
      </c>
      <c r="J35" s="2">
        <v>40000</v>
      </c>
      <c r="K35" s="2" t="s">
        <v>37</v>
      </c>
      <c r="L35" s="2">
        <v>4</v>
      </c>
      <c r="M35" s="2">
        <v>5</v>
      </c>
      <c r="N35" s="2">
        <v>26</v>
      </c>
      <c r="O35" s="2" t="s">
        <v>30</v>
      </c>
      <c r="P35" t="str">
        <f t="shared" si="0"/>
        <v>Cluj-Napoca</v>
      </c>
      <c r="Q35" t="str">
        <f t="shared" si="1"/>
        <v>Romania</v>
      </c>
      <c r="R35">
        <f t="shared" si="2"/>
        <v>2023</v>
      </c>
      <c r="S35">
        <f t="shared" ca="1" si="3"/>
        <v>3.1</v>
      </c>
      <c r="T35">
        <f t="shared" si="4"/>
        <v>2</v>
      </c>
      <c r="U35" t="str">
        <f t="shared" si="5"/>
        <v>Under €45k</v>
      </c>
      <c r="V35">
        <f t="shared" si="6"/>
        <v>1</v>
      </c>
    </row>
    <row r="36" spans="1:22" x14ac:dyDescent="0.35">
      <c r="A36" s="2" t="s">
        <v>137</v>
      </c>
      <c r="B36" s="2" t="s">
        <v>138</v>
      </c>
      <c r="C36" s="2" t="s">
        <v>24</v>
      </c>
      <c r="D36" s="2">
        <v>43</v>
      </c>
      <c r="E36" s="2" t="s">
        <v>99</v>
      </c>
      <c r="F36" s="2" t="s">
        <v>54</v>
      </c>
      <c r="G36" s="2" t="s">
        <v>27</v>
      </c>
      <c r="H36" s="3">
        <v>43577</v>
      </c>
      <c r="I36" s="2" t="s">
        <v>28</v>
      </c>
      <c r="J36" s="2">
        <v>65000</v>
      </c>
      <c r="K36" s="2" t="s">
        <v>37</v>
      </c>
      <c r="L36" s="2">
        <v>3</v>
      </c>
      <c r="M36" s="2">
        <v>12</v>
      </c>
      <c r="N36" s="2">
        <v>33</v>
      </c>
      <c r="O36" s="2" t="s">
        <v>84</v>
      </c>
      <c r="P36" t="str">
        <f t="shared" si="0"/>
        <v>Vienna</v>
      </c>
      <c r="Q36" t="str">
        <f t="shared" si="1"/>
        <v>Austria</v>
      </c>
      <c r="R36">
        <f t="shared" si="2"/>
        <v>2019</v>
      </c>
      <c r="S36">
        <f t="shared" ca="1" si="3"/>
        <v>7.3</v>
      </c>
      <c r="T36">
        <f t="shared" si="4"/>
        <v>2</v>
      </c>
      <c r="U36" t="str">
        <f t="shared" si="5"/>
        <v>€60k-€75k</v>
      </c>
      <c r="V36">
        <f t="shared" si="6"/>
        <v>1</v>
      </c>
    </row>
    <row r="37" spans="1:22" x14ac:dyDescent="0.35">
      <c r="A37" s="2" t="s">
        <v>139</v>
      </c>
      <c r="B37" s="2" t="s">
        <v>140</v>
      </c>
      <c r="C37" s="2" t="s">
        <v>33</v>
      </c>
      <c r="D37" s="2">
        <v>38</v>
      </c>
      <c r="E37" s="2" t="s">
        <v>40</v>
      </c>
      <c r="F37" s="2" t="s">
        <v>41</v>
      </c>
      <c r="G37" s="2" t="s">
        <v>27</v>
      </c>
      <c r="H37" s="3">
        <v>44172</v>
      </c>
      <c r="I37" s="2" t="s">
        <v>28</v>
      </c>
      <c r="J37" s="2">
        <v>62000</v>
      </c>
      <c r="K37" s="2" t="s">
        <v>29</v>
      </c>
      <c r="L37" s="2">
        <v>5</v>
      </c>
      <c r="M37" s="2">
        <v>4</v>
      </c>
      <c r="N37" s="2">
        <v>41</v>
      </c>
      <c r="O37" s="2" t="s">
        <v>30</v>
      </c>
      <c r="P37" t="str">
        <f t="shared" si="0"/>
        <v>Milan</v>
      </c>
      <c r="Q37" t="str">
        <f t="shared" si="1"/>
        <v>Italy</v>
      </c>
      <c r="R37">
        <f t="shared" si="2"/>
        <v>2020</v>
      </c>
      <c r="S37">
        <f t="shared" ca="1" si="3"/>
        <v>5.7</v>
      </c>
      <c r="T37">
        <f t="shared" si="4"/>
        <v>3</v>
      </c>
      <c r="U37" t="str">
        <f t="shared" si="5"/>
        <v>€60k-€75k</v>
      </c>
      <c r="V37">
        <f t="shared" si="6"/>
        <v>1</v>
      </c>
    </row>
    <row r="38" spans="1:22" x14ac:dyDescent="0.35">
      <c r="A38" s="2" t="s">
        <v>141</v>
      </c>
      <c r="B38" s="2" t="s">
        <v>142</v>
      </c>
      <c r="C38" s="2" t="s">
        <v>24</v>
      </c>
      <c r="D38" s="2">
        <v>33</v>
      </c>
      <c r="E38" s="2" t="s">
        <v>80</v>
      </c>
      <c r="F38" s="2" t="s">
        <v>26</v>
      </c>
      <c r="G38" s="2" t="s">
        <v>50</v>
      </c>
      <c r="H38" s="3">
        <v>45341</v>
      </c>
      <c r="I38" s="2" t="s">
        <v>36</v>
      </c>
      <c r="J38" s="2">
        <v>53000</v>
      </c>
      <c r="K38" s="2" t="s">
        <v>37</v>
      </c>
      <c r="L38" s="2">
        <v>4</v>
      </c>
      <c r="M38" s="2">
        <v>6</v>
      </c>
      <c r="N38" s="2">
        <v>20</v>
      </c>
      <c r="O38" s="2" t="s">
        <v>30</v>
      </c>
      <c r="P38" t="str">
        <f t="shared" si="0"/>
        <v>Copenhagen</v>
      </c>
      <c r="Q38" t="str">
        <f t="shared" si="1"/>
        <v>Denmark</v>
      </c>
      <c r="R38">
        <f t="shared" si="2"/>
        <v>2024</v>
      </c>
      <c r="S38">
        <f t="shared" ca="1" si="3"/>
        <v>2.5</v>
      </c>
      <c r="T38">
        <f t="shared" si="4"/>
        <v>2</v>
      </c>
      <c r="U38" t="str">
        <f t="shared" si="5"/>
        <v>€45k-€60k</v>
      </c>
      <c r="V38">
        <f t="shared" si="6"/>
        <v>1</v>
      </c>
    </row>
    <row r="39" spans="1:22" x14ac:dyDescent="0.35">
      <c r="A39" s="2" t="s">
        <v>143</v>
      </c>
      <c r="B39" s="2" t="s">
        <v>144</v>
      </c>
      <c r="C39" s="2" t="s">
        <v>33</v>
      </c>
      <c r="D39" s="2">
        <v>41</v>
      </c>
      <c r="E39" s="2" t="s">
        <v>118</v>
      </c>
      <c r="F39" s="2" t="s">
        <v>45</v>
      </c>
      <c r="G39" s="2" t="s">
        <v>27</v>
      </c>
      <c r="H39" s="3">
        <v>43318</v>
      </c>
      <c r="I39" s="2" t="s">
        <v>59</v>
      </c>
      <c r="J39" s="2">
        <v>79000</v>
      </c>
      <c r="K39" s="2" t="s">
        <v>29</v>
      </c>
      <c r="L39" s="2">
        <v>5</v>
      </c>
      <c r="M39" s="2">
        <v>5</v>
      </c>
      <c r="N39" s="2">
        <v>37</v>
      </c>
      <c r="O39" s="2" t="s">
        <v>30</v>
      </c>
      <c r="P39" t="str">
        <f t="shared" si="0"/>
        <v>Amsterdam</v>
      </c>
      <c r="Q39" t="str">
        <f t="shared" si="1"/>
        <v>Netherlands</v>
      </c>
      <c r="R39">
        <f t="shared" si="2"/>
        <v>2018</v>
      </c>
      <c r="S39">
        <f t="shared" ca="1" si="3"/>
        <v>8</v>
      </c>
      <c r="T39">
        <f t="shared" si="4"/>
        <v>3</v>
      </c>
      <c r="U39" t="str">
        <f t="shared" si="5"/>
        <v>€75k+</v>
      </c>
      <c r="V39">
        <f t="shared" si="6"/>
        <v>1</v>
      </c>
    </row>
    <row r="40" spans="1:22" x14ac:dyDescent="0.35">
      <c r="A40" s="2" t="s">
        <v>145</v>
      </c>
      <c r="B40" s="2" t="s">
        <v>146</v>
      </c>
      <c r="C40" s="2" t="s">
        <v>24</v>
      </c>
      <c r="D40" s="2">
        <v>27</v>
      </c>
      <c r="E40" s="2" t="s">
        <v>58</v>
      </c>
      <c r="F40" s="2" t="s">
        <v>54</v>
      </c>
      <c r="G40" s="2" t="s">
        <v>27</v>
      </c>
      <c r="H40" s="3">
        <v>45243</v>
      </c>
      <c r="I40" s="2" t="s">
        <v>55</v>
      </c>
      <c r="J40" s="2">
        <v>41000</v>
      </c>
      <c r="K40" s="2" t="s">
        <v>147</v>
      </c>
      <c r="L40" s="2">
        <v>2</v>
      </c>
      <c r="M40" s="2">
        <v>18</v>
      </c>
      <c r="N40" s="2">
        <v>10</v>
      </c>
      <c r="O40" s="2" t="s">
        <v>84</v>
      </c>
      <c r="P40" t="str">
        <f t="shared" si="0"/>
        <v>Lyon</v>
      </c>
      <c r="Q40" t="str">
        <f t="shared" si="1"/>
        <v>France</v>
      </c>
      <c r="R40">
        <f t="shared" si="2"/>
        <v>2023</v>
      </c>
      <c r="S40">
        <f t="shared" ca="1" si="3"/>
        <v>2.7</v>
      </c>
      <c r="T40">
        <f t="shared" si="4"/>
        <v>1</v>
      </c>
      <c r="U40" t="str">
        <f t="shared" si="5"/>
        <v>Under €45k</v>
      </c>
      <c r="V40">
        <f t="shared" si="6"/>
        <v>1</v>
      </c>
    </row>
    <row r="41" spans="1:22" x14ac:dyDescent="0.35">
      <c r="A41" s="2" t="s">
        <v>148</v>
      </c>
      <c r="B41" s="2" t="s">
        <v>149</v>
      </c>
      <c r="C41" s="2" t="s">
        <v>33</v>
      </c>
      <c r="D41" s="2">
        <v>45</v>
      </c>
      <c r="E41" s="2" t="s">
        <v>25</v>
      </c>
      <c r="F41" s="2" t="s">
        <v>49</v>
      </c>
      <c r="G41" s="2" t="s">
        <v>27</v>
      </c>
      <c r="H41" s="3">
        <v>42912</v>
      </c>
      <c r="I41" s="2" t="s">
        <v>28</v>
      </c>
      <c r="J41" s="2">
        <v>71000</v>
      </c>
      <c r="K41" s="2" t="s">
        <v>37</v>
      </c>
      <c r="L41" s="2">
        <v>4</v>
      </c>
      <c r="M41" s="2">
        <v>6</v>
      </c>
      <c r="N41" s="2">
        <v>34</v>
      </c>
      <c r="O41" s="2" t="s">
        <v>84</v>
      </c>
      <c r="P41" t="str">
        <f t="shared" si="0"/>
        <v>Berlin</v>
      </c>
      <c r="Q41" t="str">
        <f t="shared" si="1"/>
        <v>Germany</v>
      </c>
      <c r="R41">
        <f t="shared" si="2"/>
        <v>2017</v>
      </c>
      <c r="S41">
        <f t="shared" ca="1" si="3"/>
        <v>9.1</v>
      </c>
      <c r="T41">
        <f t="shared" si="4"/>
        <v>2</v>
      </c>
      <c r="U41" t="str">
        <f t="shared" si="5"/>
        <v>€60k-€75k</v>
      </c>
      <c r="V41">
        <f t="shared" si="6"/>
        <v>1</v>
      </c>
    </row>
    <row r="43" spans="1:22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</row>
  </sheetData>
  <sheetProtection selectLockedCells="1" selectUnlockedCells="1"/>
  <mergeCells count="1">
    <mergeCell ref="A43:J43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w</dc:creator>
  <cp:lastModifiedBy>Vinod w</cp:lastModifiedBy>
  <dcterms:created xsi:type="dcterms:W3CDTF">2026-08-12T16:40:41Z</dcterms:created>
  <dcterms:modified xsi:type="dcterms:W3CDTF">2026-08-12T16:41:08Z</dcterms:modified>
</cp:coreProperties>
</file>