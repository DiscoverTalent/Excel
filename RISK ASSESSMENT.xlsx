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C:\Users\DrVin\Downloads\FREE TEMPLATE\"/>
    </mc:Choice>
  </mc:AlternateContent>
  <xr:revisionPtr revIDLastSave="0" documentId="8_{6E3381CF-9E50-4C21-9F62-D3B6E2C889F5}" xr6:coauthVersionLast="47" xr6:coauthVersionMax="47" xr10:uidLastSave="{00000000-0000-0000-0000-000000000000}"/>
  <bookViews>
    <workbookView xWindow="-110" yWindow="-110" windowWidth="19420" windowHeight="11500" xr2:uid="{B0BEE0F5-84D8-4FE6-990B-5824F1E81D2A}"/>
  </bookViews>
  <sheets>
    <sheet name="Risk Assessment" sheetId="1" r:id="rId1"/>
    <sheet name="Raw Shee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B7" i="1" s="1"/>
  <c r="B11" i="1"/>
  <c r="E11" i="1"/>
  <c r="B3" i="2"/>
  <c r="B5" i="2"/>
  <c r="B4" i="2"/>
  <c r="B2" i="2"/>
</calcChain>
</file>

<file path=xl/sharedStrings.xml><?xml version="1.0" encoding="utf-8"?>
<sst xmlns="http://schemas.openxmlformats.org/spreadsheetml/2006/main" count="66" uniqueCount="55">
  <si>
    <t>SUPPLY CHAIN RISK ASSESSMENT</t>
  </si>
  <si>
    <t>TOTAL RISK</t>
  </si>
  <si>
    <t>MEDIUM IMPACT RISK</t>
  </si>
  <si>
    <t>LOW IMPACT RISK</t>
  </si>
  <si>
    <t xml:space="preserve">HIGH IMPACT RISK </t>
  </si>
  <si>
    <t>NO.</t>
  </si>
  <si>
    <t xml:space="preserve">HAZARD ( SUPPLY CHAIN ) </t>
  </si>
  <si>
    <t>ROLE/PROCESS</t>
  </si>
  <si>
    <t xml:space="preserve">SEVERITY </t>
  </si>
  <si>
    <t>RISK LIKELIHOOD</t>
  </si>
  <si>
    <t>IMPACT LEVEL</t>
  </si>
  <si>
    <t>ASSIGNED TO</t>
  </si>
  <si>
    <t>NECESSARY ACTION</t>
  </si>
  <si>
    <t>STATUS</t>
  </si>
  <si>
    <t>Single-source critical supplier failure</t>
  </si>
  <si>
    <t>International port congestion / customs delay</t>
  </si>
  <si>
    <t>Quality defects from a supplier batch</t>
  </si>
  <si>
    <t>IT / TMS outage (tracking system down)</t>
  </si>
  <si>
    <t>Fuel price spike impacting transport costs</t>
  </si>
  <si>
    <t>Procurement, Production</t>
  </si>
  <si>
    <t>Major Injuries (Severe Business Impact)</t>
  </si>
  <si>
    <t>Likely</t>
  </si>
  <si>
    <t>High</t>
  </si>
  <si>
    <t>Alice</t>
  </si>
  <si>
    <t>Develop alternate suppliers &amp; increase safety stock</t>
  </si>
  <si>
    <t>Logistics, Customers</t>
  </si>
  <si>
    <t>Minor Injuries (Moderate Impact)</t>
  </si>
  <si>
    <t>Highly Likely</t>
  </si>
  <si>
    <t>Ben</t>
  </si>
  <si>
    <t>Reroute shipments &amp; notify customers</t>
  </si>
  <si>
    <t>Production, QA</t>
  </si>
  <si>
    <t>Unlikely</t>
  </si>
  <si>
    <t>Medium</t>
  </si>
  <si>
    <t>Chen</t>
  </si>
  <si>
    <t>Tighten incoming inspection &amp; hold payments until corrected</t>
  </si>
  <si>
    <t>Logistics, Planning</t>
  </si>
  <si>
    <t>Negligible Injuries (Minor Impact)</t>
  </si>
  <si>
    <t>Low</t>
  </si>
  <si>
    <t>Devi</t>
  </si>
  <si>
    <t>Implement fallback manual tracking SOP</t>
  </si>
  <si>
    <t>Finance, Transport</t>
  </si>
  <si>
    <t>Elias</t>
  </si>
  <si>
    <t>Hedge contracts &amp; optimize routes</t>
  </si>
  <si>
    <t>Likelihood</t>
  </si>
  <si>
    <t>Highly Unlikely</t>
  </si>
  <si>
    <t>Severity</t>
  </si>
  <si>
    <t>Fatality</t>
  </si>
  <si>
    <t>Major Injuries</t>
  </si>
  <si>
    <t>Minor Injuries</t>
  </si>
  <si>
    <t>Negligible Injuries</t>
  </si>
  <si>
    <t>Count</t>
  </si>
  <si>
    <t>Actioned</t>
  </si>
  <si>
    <t>Not Actioned</t>
  </si>
  <si>
    <t>WIP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</si>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</sst>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2"/>
      <name val="Corbel"/>
      <family val="2"/>
      <scheme val="minor"/>
    </font>
    <font>
      <b/>
      <sz val="18"/>
      <color theme="2"/>
      <name val="Corbel"/>
      <family val="2"/>
      <scheme val="minor"/>
    </font>
    <font>
      <sz val="9"/>
      <color theme="1"/>
      <name val="Corbel"/>
      <family val="2"/>
      <scheme val="minor"/>
    </font>
    <font>
      <b/>
      <sz val="10"/>
      <color theme="1"/>
      <name val="Corbel"/>
      <family val="2"/>
      <scheme val="minor"/>
    </font>
    <font>
      <b/>
      <sz val="9"/>
      <color theme="1"/>
      <name val="Corbel"/>
      <family val="2"/>
      <scheme val="minor"/>
    </font>
    <font>
      <b/>
      <sz val="11"/>
      <color theme="2"/>
      <name val="Corbel"/>
      <family val="2"/>
      <scheme val="minor"/>
    </font>
    <font>
      <sz val="36"/>
      <color theme="1"/>
      <name val="Corbel"/>
      <family val="2"/>
      <scheme val="minor"/>
    </font>
    <font>
      <sz val="36"/>
      <color theme="2"/>
      <name val="Corbe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7" fillId="3" borderId="0" xfId="0" applyFont="1" applyFill="1"/>
    <xf numFmtId="0" fontId="2" fillId="3" borderId="0" xfId="0" applyFont="1" applyFill="1"/>
    <xf numFmtId="0" fontId="1" fillId="6" borderId="1" xfId="0" applyFont="1" applyFill="1" applyBorder="1"/>
    <xf numFmtId="0" fontId="0" fillId="6" borderId="2" xfId="0" applyFill="1" applyBorder="1"/>
    <xf numFmtId="0" fontId="7" fillId="4" borderId="3" xfId="0" applyFont="1" applyFill="1" applyBorder="1"/>
    <xf numFmtId="0" fontId="8" fillId="8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7" fillId="5" borderId="3" xfId="0" applyFont="1" applyFill="1" applyBorder="1"/>
    <xf numFmtId="0" fontId="0" fillId="0" borderId="6" xfId="0" applyBorder="1"/>
    <xf numFmtId="0" fontId="0" fillId="0" borderId="4" xfId="0" applyBorder="1"/>
    <xf numFmtId="0" fontId="0" fillId="0" borderId="11" xfId="0" applyBorder="1"/>
    <xf numFmtId="0" fontId="2" fillId="2" borderId="8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2" fillId="2" borderId="7" xfId="0" applyFont="1" applyFill="1" applyBorder="1"/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5" fillId="3" borderId="8" xfId="0" applyFont="1" applyFill="1" applyBorder="1"/>
    <xf numFmtId="0" fontId="5" fillId="3" borderId="0" xfId="0" applyFont="1" applyFill="1" applyBorder="1"/>
    <xf numFmtId="0" fontId="5" fillId="3" borderId="7" xfId="0" applyFont="1" applyFill="1" applyBorder="1"/>
    <xf numFmtId="0" fontId="6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7" xfId="0" applyFont="1" applyBorder="1"/>
    <xf numFmtId="0" fontId="1" fillId="0" borderId="0" xfId="0" applyFont="1" applyBorder="1"/>
    <xf numFmtId="0" fontId="0" fillId="0" borderId="9" xfId="0" applyBorder="1"/>
    <xf numFmtId="0" fontId="0" fillId="0" borderId="5" xfId="0" applyBorder="1"/>
    <xf numFmtId="0" fontId="1" fillId="0" borderId="5" xfId="0" applyFont="1" applyBorder="1"/>
    <xf numFmtId="0" fontId="0" fillId="0" borderId="10" xfId="0" applyBorder="1"/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SEVERITY SCORE</a:t>
            </a:r>
          </a:p>
        </c:rich>
      </c:tx>
      <c:layout>
        <c:manualLayout>
          <c:xMode val="edge"/>
          <c:yMode val="edge"/>
          <c:x val="0.3502225644303687"/>
          <c:y val="0.10556650084011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'Raw Sheet'!$D$1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B-4122-B76B-5AB8DD2DE145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AB-4122-B76B-5AB8DD2DE145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AB-4122-B76B-5AB8DD2DE145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AB-4122-B76B-5AB8DD2DE145}"/>
              </c:ext>
            </c:extLst>
          </c:dPt>
          <c:dLbls>
            <c:dLbl>
              <c:idx val="0"/>
              <c:layout>
                <c:manualLayout>
                  <c:x val="-0.21052631578947367"/>
                  <c:y val="-5.66448801742919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AB-4122-B76B-5AB8DD2DE145}"/>
                </c:ext>
              </c:extLst>
            </c:dLbl>
            <c:dLbl>
              <c:idx val="1"/>
              <c:layout>
                <c:manualLayout>
                  <c:x val="0.19924812030075187"/>
                  <c:y val="-5.2287581699346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AB-4122-B76B-5AB8DD2DE145}"/>
                </c:ext>
              </c:extLst>
            </c:dLbl>
            <c:dLbl>
              <c:idx val="2"/>
              <c:layout>
                <c:manualLayout>
                  <c:x val="0.22180451127819548"/>
                  <c:y val="0.104575163398692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AB-4122-B76B-5AB8DD2DE145}"/>
                </c:ext>
              </c:extLst>
            </c:dLbl>
            <c:dLbl>
              <c:idx val="3"/>
              <c:layout>
                <c:manualLayout>
                  <c:x val="-0.21428571428571427"/>
                  <c:y val="8.7145969498910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AB-4122-B76B-5AB8DD2DE1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Sheet'!$C$2:$C$5</c:f>
              <c:strCache>
                <c:ptCount val="4"/>
                <c:pt idx="0">
                  <c:v>Fatality</c:v>
                </c:pt>
                <c:pt idx="1">
                  <c:v>Major Injuries</c:v>
                </c:pt>
                <c:pt idx="2">
                  <c:v>Minor Injuries</c:v>
                </c:pt>
                <c:pt idx="3">
                  <c:v>Negligible Injuries</c:v>
                </c:pt>
              </c:strCache>
            </c:strRef>
          </c:cat>
          <c:val>
            <c:numRef>
              <c:f>'Raw Sheet'!$D$2:$D$5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AB-4122-B76B-5AB8DD2DE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29"/>
        <c:holeSize val="3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/>
              <a:t>RISK LIKELIHOOD</a:t>
            </a:r>
          </a:p>
        </c:rich>
      </c:tx>
      <c:layout>
        <c:manualLayout>
          <c:xMode val="edge"/>
          <c:yMode val="edge"/>
          <c:x val="0.42521485500288075"/>
          <c:y val="1.1494816446097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'Raw Sheet'!$A$2</c:f>
              <c:strCache>
                <c:ptCount val="1"/>
                <c:pt idx="0">
                  <c:v>Highly Likely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Sheet'!$B$1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'Raw Sheet'!$B$2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6-406D-B6EC-5A1399886C80}"/>
            </c:ext>
          </c:extLst>
        </c:ser>
        <c:ser>
          <c:idx val="1"/>
          <c:order val="1"/>
          <c:tx>
            <c:strRef>
              <c:f>'Raw Sheet'!$A$3</c:f>
              <c:strCache>
                <c:ptCount val="1"/>
                <c:pt idx="0">
                  <c:v>Likely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Sheet'!$B$1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'Raw Sheet'!$B$3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6-406D-B6EC-5A1399886C80}"/>
            </c:ext>
          </c:extLst>
        </c:ser>
        <c:ser>
          <c:idx val="2"/>
          <c:order val="2"/>
          <c:tx>
            <c:strRef>
              <c:f>'Raw Sheet'!$A$4</c:f>
              <c:strCache>
                <c:ptCount val="1"/>
                <c:pt idx="0">
                  <c:v>Unlikely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Sheet'!$B$1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'Raw Sheet'!$B$4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06-406D-B6EC-5A1399886C80}"/>
            </c:ext>
          </c:extLst>
        </c:ser>
        <c:ser>
          <c:idx val="3"/>
          <c:order val="3"/>
          <c:tx>
            <c:strRef>
              <c:f>'Raw Sheet'!$A$5</c:f>
              <c:strCache>
                <c:ptCount val="1"/>
                <c:pt idx="0">
                  <c:v>Highly Unlikely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Sheet'!$B$1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'Raw Sheet'!$B$5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6-406D-B6EC-5A1399886C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93840047"/>
        <c:axId val="1393841007"/>
        <c:axId val="1298257279"/>
      </c:bar3DChart>
      <c:catAx>
        <c:axId val="1393840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3841007"/>
        <c:crosses val="autoZero"/>
        <c:auto val="1"/>
        <c:lblAlgn val="ctr"/>
        <c:lblOffset val="100"/>
        <c:noMultiLvlLbl val="0"/>
      </c:catAx>
      <c:valAx>
        <c:axId val="13938410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3840047"/>
        <c:crosses val="autoZero"/>
        <c:crossBetween val="between"/>
      </c:valAx>
      <c:serAx>
        <c:axId val="129825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4100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2</xdr:row>
      <xdr:rowOff>12700</xdr:rowOff>
    </xdr:from>
    <xdr:to>
      <xdr:col>11</xdr:col>
      <xdr:colOff>298450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9D8FA-7FB2-47EB-926A-97C92C81A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3</xdr:row>
      <xdr:rowOff>0</xdr:rowOff>
    </xdr:from>
    <xdr:to>
      <xdr:col>18</xdr:col>
      <xdr:colOff>0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B3938-27F4-4B42-A34A-FF28FB506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203200</xdr:colOff>
      <xdr:row>0</xdr:row>
      <xdr:rowOff>0</xdr:rowOff>
    </xdr:from>
    <xdr:to>
      <xdr:col>3</xdr:col>
      <xdr:colOff>301065</xdr:colOff>
      <xdr:row>5</xdr:row>
      <xdr:rowOff>133350</xdr:rowOff>
    </xdr:to>
    <xdr:pic>
      <xdr:nvPicPr>
        <xdr:cNvPr id="5" name="Graphic 4" descr="Dump truck outline">
          <a:extLst>
            <a:ext uri="{FF2B5EF4-FFF2-40B4-BE49-F238E27FC236}">
              <a16:creationId xmlns:a16="http://schemas.microsoft.com/office/drawing/2014/main" id="{0D7624A7-759A-3D9C-BFCA-E94438C79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0200" y="0"/>
          <a:ext cx="1060450" cy="1060450"/>
        </a:xfrm>
        <a:prstGeom prst="rect">
          <a:avLst/>
        </a:prstGeom>
      </xdr:spPr>
    </xdr:pic>
    <xdr:clientData/>
  </xdr:twoCellAnchor>
  <xdr:twoCellAnchor editAs="oneCell">
    <xdr:from>
      <xdr:col>3</xdr:col>
      <xdr:colOff>319565</xdr:colOff>
      <xdr:row>0</xdr:row>
      <xdr:rowOff>147546</xdr:rowOff>
    </xdr:from>
    <xdr:to>
      <xdr:col>4</xdr:col>
      <xdr:colOff>410581</xdr:colOff>
      <xdr:row>4</xdr:row>
      <xdr:rowOff>156386</xdr:rowOff>
    </xdr:to>
    <xdr:pic>
      <xdr:nvPicPr>
        <xdr:cNvPr id="7" name="Graphic 6" descr="Airplane outline">
          <a:extLst>
            <a:ext uri="{FF2B5EF4-FFF2-40B4-BE49-F238E27FC236}">
              <a16:creationId xmlns:a16="http://schemas.microsoft.com/office/drawing/2014/main" id="{2ED86E8A-8D62-3B4C-F135-6F38B67CE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9454402">
          <a:off x="1341915" y="147546"/>
          <a:ext cx="745440" cy="745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asi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1B71-0368-49FB-B1F7-BBE56084DE51}">
  <sheetPr>
    <tabColor rgb="FFFFFF00"/>
  </sheetPr>
  <dimension ref="B1:R26"/>
  <sheetViews>
    <sheetView showGridLines="0" tabSelected="1" zoomScale="85" zoomScaleNormal="85" workbookViewId="0">
      <selection activeCell="S10" sqref="S10"/>
    </sheetView>
  </sheetViews>
  <sheetFormatPr defaultRowHeight="14.5" x14ac:dyDescent="0.35"/>
  <cols>
    <col min="1" max="1" width="1.6640625" customWidth="1"/>
    <col min="2" max="2" width="4" customWidth="1"/>
    <col min="5" max="5" width="16.4140625" customWidth="1"/>
    <col min="9" max="9" width="17.5" customWidth="1"/>
    <col min="11" max="11" width="5.33203125" customWidth="1"/>
    <col min="13" max="13" width="2.58203125" customWidth="1"/>
    <col min="15" max="15" width="2.1640625" customWidth="1"/>
    <col min="17" max="17" width="31.33203125" customWidth="1"/>
  </cols>
  <sheetData>
    <row r="1" spans="2:18" x14ac:dyDescent="0.35"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</row>
    <row r="2" spans="2:18" ht="14.5" customHeight="1" x14ac:dyDescent="0.35">
      <c r="B2" s="30"/>
      <c r="C2" s="31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</row>
    <row r="3" spans="2:18" ht="14.5" customHeight="1" x14ac:dyDescent="0.35"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</row>
    <row r="4" spans="2:18" x14ac:dyDescent="0.3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5"/>
    </row>
    <row r="5" spans="2:18" ht="15" thickBot="1" x14ac:dyDescent="0.4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</row>
    <row r="6" spans="2:18" ht="15" thickBot="1" x14ac:dyDescent="0.4">
      <c r="B6" s="12" t="s">
        <v>1</v>
      </c>
      <c r="C6" s="13"/>
      <c r="D6" s="13"/>
      <c r="E6" s="8" t="s">
        <v>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5"/>
    </row>
    <row r="7" spans="2:18" ht="14.5" customHeight="1" x14ac:dyDescent="0.35">
      <c r="B7" s="14">
        <f>E7+B11</f>
        <v>4</v>
      </c>
      <c r="C7" s="9"/>
      <c r="D7" s="9"/>
      <c r="E7" s="15">
        <f>COUNTIF(L19:L27,"High")</f>
        <v>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5"/>
    </row>
    <row r="8" spans="2:18" ht="14.5" customHeight="1" x14ac:dyDescent="0.35">
      <c r="B8" s="16"/>
      <c r="C8" s="17"/>
      <c r="D8" s="17"/>
      <c r="E8" s="15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5"/>
    </row>
    <row r="9" spans="2:18" ht="15" customHeight="1" thickBot="1" x14ac:dyDescent="0.4">
      <c r="B9" s="18"/>
      <c r="C9" s="10"/>
      <c r="D9" s="10"/>
      <c r="E9" s="15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5"/>
    </row>
    <row r="10" spans="2:18" ht="15" thickBot="1" x14ac:dyDescent="0.4">
      <c r="B10" s="6" t="s">
        <v>2</v>
      </c>
      <c r="C10" s="7"/>
      <c r="D10" s="7"/>
      <c r="E10" s="26" t="s">
        <v>3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5"/>
    </row>
    <row r="11" spans="2:18" ht="14.5" customHeight="1" x14ac:dyDescent="0.35">
      <c r="B11" s="19">
        <f>COUNTIF(L19:L27,"Medium")</f>
        <v>2</v>
      </c>
      <c r="C11" s="11"/>
      <c r="D11" s="11"/>
      <c r="E11" s="20">
        <f>COUNTIF(L19:L27,"Low")</f>
        <v>1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5"/>
    </row>
    <row r="12" spans="2:18" ht="14.5" customHeight="1" x14ac:dyDescent="0.35">
      <c r="B12" s="21"/>
      <c r="C12" s="22"/>
      <c r="D12" s="22"/>
      <c r="E12" s="20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5"/>
    </row>
    <row r="13" spans="2:18" ht="14.5" customHeight="1" thickBot="1" x14ac:dyDescent="0.4">
      <c r="B13" s="23"/>
      <c r="C13" s="24"/>
      <c r="D13" s="24"/>
      <c r="E13" s="25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5"/>
    </row>
    <row r="14" spans="2:18" x14ac:dyDescent="0.35"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5"/>
    </row>
    <row r="15" spans="2:18" x14ac:dyDescent="0.35"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5"/>
    </row>
    <row r="16" spans="2:18" x14ac:dyDescent="0.35"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5"/>
    </row>
    <row r="17" spans="2:18" x14ac:dyDescent="0.35"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</row>
    <row r="18" spans="2:18" x14ac:dyDescent="0.35">
      <c r="B18" s="36" t="s">
        <v>5</v>
      </c>
      <c r="C18" s="37" t="s">
        <v>6</v>
      </c>
      <c r="D18" s="37"/>
      <c r="E18" s="37"/>
      <c r="F18" s="37" t="s">
        <v>7</v>
      </c>
      <c r="G18" s="37"/>
      <c r="H18" s="37" t="s">
        <v>8</v>
      </c>
      <c r="I18" s="37"/>
      <c r="J18" s="37" t="s">
        <v>9</v>
      </c>
      <c r="K18" s="37"/>
      <c r="L18" s="37" t="s">
        <v>10</v>
      </c>
      <c r="M18" s="37"/>
      <c r="N18" s="37" t="s">
        <v>11</v>
      </c>
      <c r="O18" s="37"/>
      <c r="P18" s="37" t="s">
        <v>12</v>
      </c>
      <c r="Q18" s="37"/>
      <c r="R18" s="38" t="s">
        <v>13</v>
      </c>
    </row>
    <row r="19" spans="2:18" s="3" customFormat="1" ht="12" x14ac:dyDescent="0.3">
      <c r="B19" s="39">
        <v>1</v>
      </c>
      <c r="C19" s="40" t="s">
        <v>14</v>
      </c>
      <c r="D19" s="41"/>
      <c r="E19" s="41"/>
      <c r="F19" s="41" t="s">
        <v>19</v>
      </c>
      <c r="G19" s="41"/>
      <c r="H19" s="41" t="s">
        <v>20</v>
      </c>
      <c r="I19" s="41"/>
      <c r="J19" s="42" t="s">
        <v>21</v>
      </c>
      <c r="K19" s="42"/>
      <c r="L19" s="43" t="s">
        <v>22</v>
      </c>
      <c r="M19" s="42"/>
      <c r="N19" s="42" t="s">
        <v>23</v>
      </c>
      <c r="O19" s="41"/>
      <c r="P19" s="41" t="s">
        <v>24</v>
      </c>
      <c r="Q19" s="41"/>
      <c r="R19" s="44" t="s">
        <v>51</v>
      </c>
    </row>
    <row r="20" spans="2:18" s="3" customFormat="1" ht="12" x14ac:dyDescent="0.3">
      <c r="B20" s="39">
        <v>2</v>
      </c>
      <c r="C20" s="40" t="s">
        <v>15</v>
      </c>
      <c r="D20" s="41"/>
      <c r="E20" s="41"/>
      <c r="F20" s="41" t="s">
        <v>25</v>
      </c>
      <c r="G20" s="41"/>
      <c r="H20" s="41" t="s">
        <v>26</v>
      </c>
      <c r="I20" s="41"/>
      <c r="J20" s="42" t="s">
        <v>27</v>
      </c>
      <c r="K20" s="42"/>
      <c r="L20" s="43" t="s">
        <v>22</v>
      </c>
      <c r="M20" s="42"/>
      <c r="N20" s="42" t="s">
        <v>28</v>
      </c>
      <c r="O20" s="41"/>
      <c r="P20" s="41" t="s">
        <v>29</v>
      </c>
      <c r="Q20" s="41"/>
      <c r="R20" s="44" t="s">
        <v>52</v>
      </c>
    </row>
    <row r="21" spans="2:18" s="3" customFormat="1" ht="12" x14ac:dyDescent="0.3">
      <c r="B21" s="39">
        <v>3</v>
      </c>
      <c r="C21" s="40" t="s">
        <v>16</v>
      </c>
      <c r="D21" s="41"/>
      <c r="E21" s="41"/>
      <c r="F21" s="41" t="s">
        <v>30</v>
      </c>
      <c r="G21" s="41"/>
      <c r="H21" s="41" t="s">
        <v>20</v>
      </c>
      <c r="I21" s="41"/>
      <c r="J21" s="42" t="s">
        <v>31</v>
      </c>
      <c r="K21" s="42"/>
      <c r="L21" s="43" t="s">
        <v>32</v>
      </c>
      <c r="M21" s="42"/>
      <c r="N21" s="42" t="s">
        <v>33</v>
      </c>
      <c r="O21" s="41"/>
      <c r="P21" s="41" t="s">
        <v>34</v>
      </c>
      <c r="Q21" s="41"/>
      <c r="R21" s="44" t="s">
        <v>54</v>
      </c>
    </row>
    <row r="22" spans="2:18" s="3" customFormat="1" ht="12" x14ac:dyDescent="0.3">
      <c r="B22" s="39">
        <v>4</v>
      </c>
      <c r="C22" s="40" t="s">
        <v>17</v>
      </c>
      <c r="D22" s="41"/>
      <c r="E22" s="41"/>
      <c r="F22" s="41" t="s">
        <v>35</v>
      </c>
      <c r="G22" s="41"/>
      <c r="H22" s="41" t="s">
        <v>36</v>
      </c>
      <c r="I22" s="41"/>
      <c r="J22" s="42" t="s">
        <v>21</v>
      </c>
      <c r="K22" s="42"/>
      <c r="L22" s="43" t="s">
        <v>37</v>
      </c>
      <c r="M22" s="42"/>
      <c r="N22" s="42" t="s">
        <v>38</v>
      </c>
      <c r="O22" s="41"/>
      <c r="P22" s="41" t="s">
        <v>39</v>
      </c>
      <c r="Q22" s="41"/>
      <c r="R22" s="44" t="s">
        <v>53</v>
      </c>
    </row>
    <row r="23" spans="2:18" s="3" customFormat="1" ht="12" x14ac:dyDescent="0.3">
      <c r="B23" s="39">
        <v>5</v>
      </c>
      <c r="C23" s="40" t="s">
        <v>18</v>
      </c>
      <c r="D23" s="41"/>
      <c r="E23" s="41"/>
      <c r="F23" s="41" t="s">
        <v>40</v>
      </c>
      <c r="G23" s="41"/>
      <c r="H23" s="41" t="s">
        <v>26</v>
      </c>
      <c r="I23" s="41"/>
      <c r="J23" s="42" t="s">
        <v>21</v>
      </c>
      <c r="K23" s="42"/>
      <c r="L23" s="43" t="s">
        <v>32</v>
      </c>
      <c r="M23" s="42"/>
      <c r="N23" s="42" t="s">
        <v>41</v>
      </c>
      <c r="O23" s="41"/>
      <c r="P23" s="41" t="s">
        <v>42</v>
      </c>
      <c r="Q23" s="41"/>
      <c r="R23" s="44" t="s">
        <v>51</v>
      </c>
    </row>
    <row r="24" spans="2:18" x14ac:dyDescent="0.35"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45"/>
      <c r="M24" s="34"/>
      <c r="N24" s="34"/>
      <c r="O24" s="34"/>
      <c r="P24" s="34"/>
      <c r="Q24" s="34"/>
      <c r="R24" s="35"/>
    </row>
    <row r="25" spans="2:18" ht="15" thickBot="1" x14ac:dyDescent="0.4"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8"/>
      <c r="M25" s="47"/>
      <c r="N25" s="47"/>
      <c r="O25" s="47"/>
      <c r="P25" s="47"/>
      <c r="Q25" s="47"/>
      <c r="R25" s="49"/>
    </row>
    <row r="26" spans="2:18" x14ac:dyDescent="0.35">
      <c r="L26" s="1"/>
    </row>
  </sheetData>
  <mergeCells count="6">
    <mergeCell ref="E11:E13"/>
    <mergeCell ref="E7:E9"/>
    <mergeCell ref="B7:D9"/>
    <mergeCell ref="B11:D13"/>
    <mergeCell ref="B6:D6"/>
    <mergeCell ref="C2:Q3"/>
  </mergeCells>
  <conditionalFormatting sqref="L19:L25">
    <cfRule type="containsText" dxfId="6" priority="5" operator="containsText" text="Medium">
      <formula>NOT(ISERROR(SEARCH("Medium",L19)))</formula>
    </cfRule>
    <cfRule type="containsText" dxfId="5" priority="6" operator="containsText" text="Low">
      <formula>NOT(ISERROR(SEARCH("Low",L19)))</formula>
    </cfRule>
    <cfRule type="containsText" dxfId="4" priority="7" operator="containsText" text="High">
      <formula>NOT(ISERROR(SEARCH("High",L19)))</formula>
    </cfRule>
  </conditionalFormatting>
  <conditionalFormatting sqref="R19:R26">
    <cfRule type="containsText" dxfId="3" priority="1" operator="containsText" text="WIP">
      <formula>NOT(ISERROR(SEARCH("WIP",R19)))</formula>
    </cfRule>
    <cfRule type="containsText" dxfId="2" priority="2" operator="containsText" text="Hold">
      <formula>NOT(ISERROR(SEARCH("Hold",R19)))</formula>
    </cfRule>
    <cfRule type="containsText" dxfId="1" priority="3" operator="containsText" text="Not Actioned">
      <formula>NOT(ISERROR(SEARCH("Not Actioned",R19)))</formula>
    </cfRule>
    <cfRule type="containsText" dxfId="0" priority="4" operator="containsText" text="Actioned">
      <formula>NOT(ISERROR(SEARCH("Actioned",R19)))</formula>
    </cfRule>
  </conditionalFormatting>
  <dataValidations count="1">
    <dataValidation type="list" allowBlank="1" showInputMessage="1" showErrorMessage="1" sqref="R19:R25" xr:uid="{A9255F91-4060-4929-872D-DED07E189A05}">
      <formula1>"Actioned,Not Actioned,WIP,Hold"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12B5-0B33-4CB2-8900-E1D0B18F93EE}">
  <dimension ref="A1:D5"/>
  <sheetViews>
    <sheetView workbookViewId="0">
      <selection activeCell="D20" sqref="D20"/>
    </sheetView>
  </sheetViews>
  <sheetFormatPr defaultRowHeight="14.5" x14ac:dyDescent="0.35"/>
  <cols>
    <col min="1" max="1" width="12.4140625" customWidth="1"/>
    <col min="2" max="2" width="5.6640625" customWidth="1"/>
    <col min="3" max="3" width="15" customWidth="1"/>
    <col min="4" max="4" width="5.6640625" customWidth="1"/>
  </cols>
  <sheetData>
    <row r="1" spans="1:4" x14ac:dyDescent="0.35">
      <c r="A1" s="4" t="s">
        <v>43</v>
      </c>
      <c r="B1" s="5" t="s">
        <v>50</v>
      </c>
      <c r="C1" s="4" t="s">
        <v>45</v>
      </c>
      <c r="D1" s="5" t="s">
        <v>50</v>
      </c>
    </row>
    <row r="2" spans="1:4" x14ac:dyDescent="0.35">
      <c r="A2" t="s">
        <v>27</v>
      </c>
      <c r="B2" s="2">
        <f>COUNTIF('Risk Assessment'!J19:J25,"Highly Likely")</f>
        <v>1</v>
      </c>
      <c r="C2" t="s">
        <v>46</v>
      </c>
      <c r="D2">
        <v>5</v>
      </c>
    </row>
    <row r="3" spans="1:4" x14ac:dyDescent="0.35">
      <c r="A3" t="s">
        <v>21</v>
      </c>
      <c r="B3" s="2">
        <f>COUNTIF('Risk Assessment'!J19:J24,"Likely")</f>
        <v>3</v>
      </c>
      <c r="C3" t="s">
        <v>47</v>
      </c>
      <c r="D3">
        <v>4</v>
      </c>
    </row>
    <row r="4" spans="1:4" x14ac:dyDescent="0.35">
      <c r="A4" t="s">
        <v>31</v>
      </c>
      <c r="B4" s="2">
        <f>COUNTIF('Risk Assessment'!J21:J27,"Unlikely")</f>
        <v>1</v>
      </c>
      <c r="C4" t="s">
        <v>48</v>
      </c>
      <c r="D4">
        <v>2</v>
      </c>
    </row>
    <row r="5" spans="1:4" x14ac:dyDescent="0.35">
      <c r="A5" t="s">
        <v>44</v>
      </c>
      <c r="B5" s="2">
        <f>COUNTIF('Risk Assessment'!J22:J28,"Highy Unlikely")</f>
        <v>0</v>
      </c>
      <c r="C5" t="s">
        <v>49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Assessment</vt:lpstr>
      <vt:lpstr>Raw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2025-11-22T07:45:49Z</dcterms:created>
  <dcterms:modified xsi:type="dcterms:W3CDTF">2025-11-22T15:28:24Z</dcterms:modified>
</cp:coreProperties>
</file>