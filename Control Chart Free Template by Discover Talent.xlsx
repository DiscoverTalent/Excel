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15"/>
  <workbookPr/>
  <mc:AlternateContent xmlns:mc="http://schemas.openxmlformats.org/markup-compatibility/2006">
    <mc:Choice Requires="x15">
      <x15ac:absPath xmlns:x15ac="http://schemas.microsoft.com/office/spreadsheetml/2010/11/ac" url="C:\Users\DrVin\Downloads\"/>
    </mc:Choice>
  </mc:AlternateContent>
  <xr:revisionPtr revIDLastSave="0" documentId="8_{86FB7A1D-1E02-4E20-B3CD-F43F83DDFAEE}" xr6:coauthVersionLast="47" xr6:coauthVersionMax="47" xr10:uidLastSave="{00000000-0000-0000-0000-000000000000}"/>
  <bookViews>
    <workbookView xWindow="-110" yWindow="-110" windowWidth="19420" windowHeight="11500" xr2:uid="{8CC15579-3E79-4B91-9A12-5528F55637AD}"/>
  </bookViews>
  <sheets>
    <sheet name="Data Feeder" sheetId="1" r:id="rId1"/>
    <sheet name="Control Chart Summary View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7" i="1" l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12" i="1"/>
  <c r="C12" i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Q17" i="1" l="1"/>
  <c r="Q21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13" i="1"/>
  <c r="Q14" i="1"/>
  <c r="Q15" i="1"/>
  <c r="Q16" i="1"/>
  <c r="Q18" i="1"/>
  <c r="Q19" i="1"/>
  <c r="Q20" i="1"/>
  <c r="Q12" i="1"/>
  <c r="Q22" i="1"/>
</calcChain>
</file>

<file path=xl/sharedStrings.xml><?xml version="1.0" encoding="utf-8"?>
<sst xmlns="http://schemas.openxmlformats.org/spreadsheetml/2006/main" count="25" uniqueCount="25">
  <si>
    <t xml:space="preserve">Control Charts for Discover Talent Mfg. </t>
  </si>
  <si>
    <t>Plant Name</t>
  </si>
  <si>
    <t>Report Date</t>
  </si>
  <si>
    <t>QC POC</t>
  </si>
  <si>
    <t>Dept</t>
  </si>
  <si>
    <t>Equipment ID</t>
  </si>
  <si>
    <t>Start Date</t>
  </si>
  <si>
    <t>End Date</t>
  </si>
  <si>
    <t>ABC Publisher</t>
  </si>
  <si>
    <t>Rahul Gupta</t>
  </si>
  <si>
    <t>Quality Assurance</t>
  </si>
  <si>
    <t>Date</t>
  </si>
  <si>
    <t>Sample 1</t>
  </si>
  <si>
    <t>Sample 2</t>
  </si>
  <si>
    <t>Sample 3</t>
  </si>
  <si>
    <t>Sample 4</t>
  </si>
  <si>
    <t>Sample 5</t>
  </si>
  <si>
    <t>Sample 6</t>
  </si>
  <si>
    <t>Sample 7</t>
  </si>
  <si>
    <t>Sample 8</t>
  </si>
  <si>
    <t>Sample 9</t>
  </si>
  <si>
    <t>Sample 10</t>
  </si>
  <si>
    <t>Mean</t>
  </si>
  <si>
    <t>Sample Mean ( Average of all Means )</t>
  </si>
  <si>
    <t xml:space="preserve"># of imperfections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</si>
</sst>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2" tint="-0.499984740745262"/>
      <name val="Aptos Narrow"/>
      <family val="2"/>
      <scheme val="minor"/>
    </font>
    <font>
      <b/>
      <sz val="44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14" fontId="0" fillId="2" borderId="2" xfId="0" applyNumberFormat="1" applyFill="1" applyBorder="1"/>
    <xf numFmtId="2" fontId="0" fillId="2" borderId="2" xfId="0" applyNumberFormat="1" applyFill="1" applyBorder="1" applyAlignment="1">
      <alignment horizontal="center" vertical="center"/>
    </xf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4" fillId="2" borderId="0" xfId="0" applyFont="1" applyFill="1" applyBorder="1" applyAlignment="1">
      <alignment vertical="center"/>
    </xf>
    <xf numFmtId="0" fontId="0" fillId="2" borderId="0" xfId="0" applyFill="1" applyBorder="1"/>
    <xf numFmtId="0" fontId="0" fillId="2" borderId="7" xfId="0" applyFill="1" applyBorder="1"/>
    <xf numFmtId="0" fontId="1" fillId="3" borderId="0" xfId="0" applyFont="1" applyFill="1" applyBorder="1"/>
    <xf numFmtId="14" fontId="0" fillId="2" borderId="0" xfId="0" applyNumberFormat="1" applyFill="1" applyBorder="1"/>
    <xf numFmtId="0" fontId="1" fillId="3" borderId="0" xfId="0" applyFont="1" applyFill="1" applyBorder="1" applyAlignment="1">
      <alignment horizontal="center"/>
    </xf>
    <xf numFmtId="0" fontId="1" fillId="4" borderId="0" xfId="0" applyFont="1" applyFill="1" applyBorder="1"/>
    <xf numFmtId="0" fontId="1" fillId="4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0" fillId="2" borderId="8" xfId="0" applyFill="1" applyBorder="1"/>
    <xf numFmtId="0" fontId="0" fillId="2" borderId="10" xfId="0" applyFill="1" applyBorder="1"/>
    <xf numFmtId="0" fontId="0" fillId="2" borderId="11" xfId="0" applyFill="1" applyBorder="1"/>
    <xf numFmtId="14" fontId="0" fillId="2" borderId="9" xfId="0" applyNumberFormat="1" applyFill="1" applyBorder="1"/>
    <xf numFmtId="0" fontId="3" fillId="2" borderId="10" xfId="0" applyFont="1" applyFill="1" applyBorder="1" applyAlignment="1">
      <alignment horizontal="center" vertical="center"/>
    </xf>
    <xf numFmtId="2" fontId="0" fillId="2" borderId="9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2800" b="1"/>
              <a:t>Conrtrol</a:t>
            </a:r>
            <a:r>
              <a:rPr lang="en-IN" sz="2800" b="1" baseline="0"/>
              <a:t> Chart for Discover Talent</a:t>
            </a:r>
            <a:endParaRPr lang="en-IN" sz="28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'Data Feeder'!$O$11</c:f>
              <c:strCache>
                <c:ptCount val="1"/>
                <c:pt idx="0">
                  <c:v>Mean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'Data Feeder'!$O$12:$O$45</c:f>
              <c:numCache>
                <c:formatCode>0.00</c:formatCode>
                <c:ptCount val="34"/>
                <c:pt idx="0">
                  <c:v>1.8</c:v>
                </c:pt>
                <c:pt idx="1">
                  <c:v>2.2000000000000002</c:v>
                </c:pt>
                <c:pt idx="2">
                  <c:v>2.9</c:v>
                </c:pt>
                <c:pt idx="3">
                  <c:v>1.9</c:v>
                </c:pt>
                <c:pt idx="4">
                  <c:v>3.1</c:v>
                </c:pt>
                <c:pt idx="5">
                  <c:v>2.9</c:v>
                </c:pt>
                <c:pt idx="6">
                  <c:v>3.2</c:v>
                </c:pt>
                <c:pt idx="7">
                  <c:v>1.9</c:v>
                </c:pt>
                <c:pt idx="8">
                  <c:v>3.1</c:v>
                </c:pt>
                <c:pt idx="9">
                  <c:v>2.2000000000000002</c:v>
                </c:pt>
                <c:pt idx="10">
                  <c:v>2.4</c:v>
                </c:pt>
                <c:pt idx="11">
                  <c:v>2.6</c:v>
                </c:pt>
                <c:pt idx="12">
                  <c:v>2.9</c:v>
                </c:pt>
                <c:pt idx="13">
                  <c:v>1.7</c:v>
                </c:pt>
                <c:pt idx="14">
                  <c:v>2.6</c:v>
                </c:pt>
                <c:pt idx="15">
                  <c:v>2.7</c:v>
                </c:pt>
                <c:pt idx="16">
                  <c:v>2.5</c:v>
                </c:pt>
                <c:pt idx="17">
                  <c:v>2.6</c:v>
                </c:pt>
                <c:pt idx="18">
                  <c:v>2.9</c:v>
                </c:pt>
                <c:pt idx="19">
                  <c:v>2</c:v>
                </c:pt>
                <c:pt idx="20">
                  <c:v>2.8</c:v>
                </c:pt>
                <c:pt idx="21">
                  <c:v>2.4</c:v>
                </c:pt>
                <c:pt idx="22">
                  <c:v>2.2999999999999998</c:v>
                </c:pt>
                <c:pt idx="23">
                  <c:v>2</c:v>
                </c:pt>
                <c:pt idx="24">
                  <c:v>2.2000000000000002</c:v>
                </c:pt>
                <c:pt idx="25">
                  <c:v>3.4</c:v>
                </c:pt>
                <c:pt idx="26">
                  <c:v>2.2000000000000002</c:v>
                </c:pt>
                <c:pt idx="27">
                  <c:v>2.7</c:v>
                </c:pt>
                <c:pt idx="28">
                  <c:v>2.7</c:v>
                </c:pt>
                <c:pt idx="29">
                  <c:v>3.6</c:v>
                </c:pt>
                <c:pt idx="30">
                  <c:v>2.1</c:v>
                </c:pt>
                <c:pt idx="31">
                  <c:v>3.2</c:v>
                </c:pt>
                <c:pt idx="32">
                  <c:v>1.2</c:v>
                </c:pt>
                <c:pt idx="33">
                  <c:v>1.9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44-44AC-8C8A-FDE49457949F}"/>
            </c:ext>
          </c:extLst>
        </c:ser>
        <c:ser>
          <c:idx val="1"/>
          <c:order val="1"/>
          <c:tx>
            <c:strRef>
              <c:f>'Data Feeder'!$P$11</c:f>
              <c:strCache>
                <c:ptCount val="1"/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val>
            <c:numRef>
              <c:f>'Data Feeder'!$P$12:$P$45</c:f>
            </c:numRef>
          </c:val>
          <c:smooth val="0"/>
          <c:extLst>
            <c:ext xmlns:c16="http://schemas.microsoft.com/office/drawing/2014/chart" uri="{C3380CC4-5D6E-409C-BE32-E72D297353CC}">
              <c16:uniqueId val="{00000001-2044-44AC-8C8A-FDE49457949F}"/>
            </c:ext>
          </c:extLst>
        </c:ser>
        <c:ser>
          <c:idx val="2"/>
          <c:order val="2"/>
          <c:tx>
            <c:strRef>
              <c:f>'Data Feeder'!$Q$11</c:f>
              <c:strCache>
                <c:ptCount val="1"/>
                <c:pt idx="0">
                  <c:v>Sample Mean ( Average of all Means 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'Data Feeder'!$Q$12:$Q$45</c:f>
              <c:numCache>
                <c:formatCode>0.00</c:formatCode>
                <c:ptCount val="34"/>
                <c:pt idx="0">
                  <c:v>2.494117647058824</c:v>
                </c:pt>
                <c:pt idx="1">
                  <c:v>2.494117647058824</c:v>
                </c:pt>
                <c:pt idx="2">
                  <c:v>2.494117647058824</c:v>
                </c:pt>
                <c:pt idx="3">
                  <c:v>2.494117647058824</c:v>
                </c:pt>
                <c:pt idx="4">
                  <c:v>2.494117647058824</c:v>
                </c:pt>
                <c:pt idx="5">
                  <c:v>2.494117647058824</c:v>
                </c:pt>
                <c:pt idx="6">
                  <c:v>2.494117647058824</c:v>
                </c:pt>
                <c:pt idx="7">
                  <c:v>2.494117647058824</c:v>
                </c:pt>
                <c:pt idx="8">
                  <c:v>2.494117647058824</c:v>
                </c:pt>
                <c:pt idx="9">
                  <c:v>2.494117647058824</c:v>
                </c:pt>
                <c:pt idx="10">
                  <c:v>2.494117647058824</c:v>
                </c:pt>
                <c:pt idx="11">
                  <c:v>2.494117647058824</c:v>
                </c:pt>
                <c:pt idx="12">
                  <c:v>2.494117647058824</c:v>
                </c:pt>
                <c:pt idx="13">
                  <c:v>2.494117647058824</c:v>
                </c:pt>
                <c:pt idx="14">
                  <c:v>2.494117647058824</c:v>
                </c:pt>
                <c:pt idx="15">
                  <c:v>2.494117647058824</c:v>
                </c:pt>
                <c:pt idx="16">
                  <c:v>2.494117647058824</c:v>
                </c:pt>
                <c:pt idx="17">
                  <c:v>2.494117647058824</c:v>
                </c:pt>
                <c:pt idx="18">
                  <c:v>2.494117647058824</c:v>
                </c:pt>
                <c:pt idx="19">
                  <c:v>2.494117647058824</c:v>
                </c:pt>
                <c:pt idx="20">
                  <c:v>2.494117647058824</c:v>
                </c:pt>
                <c:pt idx="21">
                  <c:v>2.494117647058824</c:v>
                </c:pt>
                <c:pt idx="22">
                  <c:v>2.494117647058824</c:v>
                </c:pt>
                <c:pt idx="23">
                  <c:v>2.494117647058824</c:v>
                </c:pt>
                <c:pt idx="24">
                  <c:v>2.494117647058824</c:v>
                </c:pt>
                <c:pt idx="25">
                  <c:v>2.494117647058824</c:v>
                </c:pt>
                <c:pt idx="26">
                  <c:v>2.494117647058824</c:v>
                </c:pt>
                <c:pt idx="27">
                  <c:v>2.494117647058824</c:v>
                </c:pt>
                <c:pt idx="28">
                  <c:v>2.494117647058824</c:v>
                </c:pt>
                <c:pt idx="29">
                  <c:v>2.494117647058824</c:v>
                </c:pt>
                <c:pt idx="30">
                  <c:v>2.494117647058824</c:v>
                </c:pt>
                <c:pt idx="31">
                  <c:v>2.494117647058824</c:v>
                </c:pt>
                <c:pt idx="32">
                  <c:v>2.494117647058824</c:v>
                </c:pt>
                <c:pt idx="33">
                  <c:v>2.494117647058824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044-44AC-8C8A-FDE4945794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73662752"/>
        <c:axId val="1273664672"/>
      </c:lineChart>
      <c:catAx>
        <c:axId val="127366275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273664672"/>
        <c:crosses val="autoZero"/>
        <c:auto val="1"/>
        <c:lblAlgn val="ctr"/>
        <c:lblOffset val="100"/>
        <c:noMultiLvlLbl val="0"/>
      </c:catAx>
      <c:valAx>
        <c:axId val="1273664672"/>
        <c:scaling>
          <c:orientation val="minMax"/>
          <c:max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3662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6350</xdr:rowOff>
    </xdr:from>
    <xdr:to>
      <xdr:col>16</xdr:col>
      <xdr:colOff>571500</xdr:colOff>
      <xdr:row>25</xdr:row>
      <xdr:rowOff>120650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BA00F88-340B-4EF9-BAF2-C8B06CD1FE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Green Yellow">
      <a:dk1>
        <a:sysClr val="windowText" lastClr="000000"/>
      </a:dk1>
      <a:lt1>
        <a:sysClr val="window" lastClr="FFFFFF"/>
      </a:lt1>
      <a:dk2>
        <a:srgbClr val="455F51"/>
      </a:dk2>
      <a:lt2>
        <a:srgbClr val="E2DFCC"/>
      </a:lt2>
      <a:accent1>
        <a:srgbClr val="99CB38"/>
      </a:accent1>
      <a:accent2>
        <a:srgbClr val="63A537"/>
      </a:accent2>
      <a:accent3>
        <a:srgbClr val="37A76F"/>
      </a:accent3>
      <a:accent4>
        <a:srgbClr val="44C1A3"/>
      </a:accent4>
      <a:accent5>
        <a:srgbClr val="4EB3CF"/>
      </a:accent5>
      <a:accent6>
        <a:srgbClr val="51C3F9"/>
      </a:accent6>
      <a:hlink>
        <a:srgbClr val="EE7B08"/>
      </a:hlink>
      <a:folHlink>
        <a:srgbClr val="977B2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EA3F0-DB8A-4232-8593-881B38D461EE}">
  <sheetPr>
    <tabColor rgb="FFFFFF00"/>
  </sheetPr>
  <dimension ref="B1:S45"/>
  <sheetViews>
    <sheetView tabSelected="1" workbookViewId="0">
      <selection activeCell="I6" sqref="I6"/>
    </sheetView>
  </sheetViews>
  <sheetFormatPr defaultRowHeight="14.5" x14ac:dyDescent="0.35"/>
  <cols>
    <col min="1" max="1" width="1.90625" customWidth="1"/>
    <col min="3" max="3" width="10.1796875" customWidth="1"/>
    <col min="4" max="4" width="3.453125" hidden="1" customWidth="1"/>
    <col min="5" max="5" width="10.08984375" bestFit="1" customWidth="1"/>
    <col min="14" max="14" width="9.6328125" customWidth="1"/>
    <col min="15" max="15" width="12.08984375" customWidth="1"/>
    <col min="16" max="16" width="0.453125" hidden="1" customWidth="1"/>
    <col min="17" max="17" width="12.1796875" customWidth="1"/>
    <col min="18" max="18" width="6.36328125" customWidth="1"/>
    <col min="19" max="19" width="3.08984375" customWidth="1"/>
  </cols>
  <sheetData>
    <row r="1" spans="2:19" ht="15" thickBot="1" x14ac:dyDescent="0.4"/>
    <row r="2" spans="2:19" x14ac:dyDescent="0.35"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7"/>
    </row>
    <row r="3" spans="2:19" ht="97.5" customHeight="1" x14ac:dyDescent="0.35">
      <c r="B3" s="8"/>
      <c r="C3" s="9" t="s">
        <v>0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1"/>
    </row>
    <row r="4" spans="2:19" x14ac:dyDescent="0.35">
      <c r="B4" s="8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1"/>
    </row>
    <row r="5" spans="2:19" x14ac:dyDescent="0.35">
      <c r="B5" s="8"/>
      <c r="C5" s="12" t="s">
        <v>1</v>
      </c>
      <c r="D5" s="10"/>
      <c r="E5" s="10" t="s">
        <v>8</v>
      </c>
      <c r="F5" s="10"/>
      <c r="G5" s="10"/>
      <c r="H5" s="10"/>
      <c r="I5" s="10"/>
      <c r="J5" s="10"/>
      <c r="K5" s="10"/>
      <c r="L5" s="10"/>
      <c r="M5" s="10"/>
      <c r="N5" s="10"/>
      <c r="O5" s="12" t="s">
        <v>5</v>
      </c>
      <c r="P5" s="10"/>
      <c r="Q5" s="10">
        <v>123456</v>
      </c>
      <c r="R5" s="10"/>
      <c r="S5" s="11"/>
    </row>
    <row r="6" spans="2:19" x14ac:dyDescent="0.35">
      <c r="B6" s="8"/>
      <c r="C6" s="12" t="s">
        <v>2</v>
      </c>
      <c r="D6" s="10"/>
      <c r="E6" s="13">
        <v>46017</v>
      </c>
      <c r="F6" s="10"/>
      <c r="G6" s="10"/>
      <c r="H6" s="10"/>
      <c r="I6" s="10"/>
      <c r="J6" s="10"/>
      <c r="K6" s="10"/>
      <c r="L6" s="10"/>
      <c r="M6" s="10"/>
      <c r="N6" s="10"/>
      <c r="O6" s="12" t="s">
        <v>6</v>
      </c>
      <c r="P6" s="10"/>
      <c r="Q6" s="13">
        <v>45989</v>
      </c>
      <c r="R6" s="10"/>
      <c r="S6" s="11"/>
    </row>
    <row r="7" spans="2:19" x14ac:dyDescent="0.35">
      <c r="B7" s="8"/>
      <c r="C7" s="12" t="s">
        <v>3</v>
      </c>
      <c r="D7" s="10"/>
      <c r="E7" s="10" t="s">
        <v>9</v>
      </c>
      <c r="F7" s="10"/>
      <c r="G7" s="10"/>
      <c r="H7" s="10"/>
      <c r="I7" s="10"/>
      <c r="J7" s="10"/>
      <c r="K7" s="10"/>
      <c r="L7" s="10"/>
      <c r="M7" s="10"/>
      <c r="N7" s="10"/>
      <c r="O7" s="12" t="s">
        <v>7</v>
      </c>
      <c r="P7" s="10"/>
      <c r="Q7" s="13">
        <v>46022</v>
      </c>
      <c r="R7" s="10"/>
      <c r="S7" s="11"/>
    </row>
    <row r="8" spans="2:19" x14ac:dyDescent="0.35">
      <c r="B8" s="8"/>
      <c r="C8" s="12" t="s">
        <v>4</v>
      </c>
      <c r="D8" s="10"/>
      <c r="E8" s="10" t="s">
        <v>10</v>
      </c>
      <c r="F8" s="10"/>
      <c r="G8" s="10"/>
      <c r="H8" s="10"/>
      <c r="I8" s="10"/>
      <c r="J8" s="10"/>
      <c r="K8" s="10"/>
      <c r="L8" s="10"/>
      <c r="M8" s="10"/>
      <c r="N8" s="10"/>
      <c r="O8" s="12"/>
      <c r="P8" s="10"/>
      <c r="Q8" s="10"/>
      <c r="R8" s="10"/>
      <c r="S8" s="11"/>
    </row>
    <row r="9" spans="2:19" x14ac:dyDescent="0.35">
      <c r="B9" s="8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1"/>
    </row>
    <row r="10" spans="2:19" x14ac:dyDescent="0.35">
      <c r="B10" s="8"/>
      <c r="C10" s="10"/>
      <c r="D10" s="10"/>
      <c r="E10" s="14" t="s">
        <v>24</v>
      </c>
      <c r="F10" s="14"/>
      <c r="G10" s="14"/>
      <c r="H10" s="14"/>
      <c r="I10" s="14"/>
      <c r="J10" s="14"/>
      <c r="K10" s="14"/>
      <c r="L10" s="14"/>
      <c r="M10" s="14"/>
      <c r="N10" s="14"/>
      <c r="O10" s="10"/>
      <c r="P10" s="10"/>
      <c r="Q10" s="10"/>
      <c r="R10" s="10"/>
      <c r="S10" s="11"/>
    </row>
    <row r="11" spans="2:19" ht="46.5" customHeight="1" x14ac:dyDescent="0.35">
      <c r="B11" s="8"/>
      <c r="C11" s="1" t="s">
        <v>11</v>
      </c>
      <c r="D11" s="15"/>
      <c r="E11" s="16" t="s">
        <v>12</v>
      </c>
      <c r="F11" s="16" t="s">
        <v>13</v>
      </c>
      <c r="G11" s="16" t="s">
        <v>14</v>
      </c>
      <c r="H11" s="16" t="s">
        <v>15</v>
      </c>
      <c r="I11" s="16" t="s">
        <v>16</v>
      </c>
      <c r="J11" s="16" t="s">
        <v>17</v>
      </c>
      <c r="K11" s="16" t="s">
        <v>18</v>
      </c>
      <c r="L11" s="16" t="s">
        <v>19</v>
      </c>
      <c r="M11" s="16" t="s">
        <v>20</v>
      </c>
      <c r="N11" s="16" t="s">
        <v>21</v>
      </c>
      <c r="O11" s="1" t="s">
        <v>22</v>
      </c>
      <c r="P11" s="15"/>
      <c r="Q11" s="2" t="s">
        <v>23</v>
      </c>
      <c r="R11" s="10"/>
      <c r="S11" s="11"/>
    </row>
    <row r="12" spans="2:19" x14ac:dyDescent="0.35">
      <c r="B12" s="8"/>
      <c r="C12" s="3">
        <f>Q6</f>
        <v>45989</v>
      </c>
      <c r="D12" s="10"/>
      <c r="E12" s="17">
        <v>5</v>
      </c>
      <c r="F12" s="17">
        <v>0</v>
      </c>
      <c r="G12" s="17">
        <v>2</v>
      </c>
      <c r="H12" s="17">
        <v>0</v>
      </c>
      <c r="I12" s="17">
        <v>4</v>
      </c>
      <c r="J12" s="17">
        <v>1</v>
      </c>
      <c r="K12" s="17">
        <v>1</v>
      </c>
      <c r="L12" s="17">
        <v>0</v>
      </c>
      <c r="M12" s="17">
        <v>2</v>
      </c>
      <c r="N12" s="17">
        <v>3</v>
      </c>
      <c r="O12" s="4">
        <f>AVERAGE(E12:N12)</f>
        <v>1.8</v>
      </c>
      <c r="P12" s="10"/>
      <c r="Q12" s="4">
        <f>AVERAGE($O$12:$O$45)</f>
        <v>2.494117647058824</v>
      </c>
      <c r="R12" s="10"/>
      <c r="S12" s="11"/>
    </row>
    <row r="13" spans="2:19" x14ac:dyDescent="0.35">
      <c r="B13" s="8"/>
      <c r="C13" s="3">
        <f>C12+1</f>
        <v>45990</v>
      </c>
      <c r="D13" s="10"/>
      <c r="E13" s="17">
        <v>0</v>
      </c>
      <c r="F13" s="17">
        <v>5</v>
      </c>
      <c r="G13" s="17">
        <v>2</v>
      </c>
      <c r="H13" s="17">
        <v>0</v>
      </c>
      <c r="I13" s="17">
        <v>1</v>
      </c>
      <c r="J13" s="17">
        <v>5</v>
      </c>
      <c r="K13" s="17">
        <v>3</v>
      </c>
      <c r="L13" s="17">
        <v>4</v>
      </c>
      <c r="M13" s="17">
        <v>2</v>
      </c>
      <c r="N13" s="17">
        <v>0</v>
      </c>
      <c r="O13" s="4">
        <f t="shared" ref="O13:O45" si="0">AVERAGE(E13:N13)</f>
        <v>2.2000000000000002</v>
      </c>
      <c r="P13" s="10"/>
      <c r="Q13" s="4">
        <f t="shared" ref="Q13:Q45" si="1">AVERAGE($O$12:$O$45)</f>
        <v>2.494117647058824</v>
      </c>
      <c r="R13" s="10"/>
      <c r="S13" s="11"/>
    </row>
    <row r="14" spans="2:19" x14ac:dyDescent="0.35">
      <c r="B14" s="8"/>
      <c r="C14" s="3">
        <f t="shared" ref="C14:C45" si="2">C13+1</f>
        <v>45991</v>
      </c>
      <c r="D14" s="10"/>
      <c r="E14" s="17">
        <v>4</v>
      </c>
      <c r="F14" s="17">
        <v>5</v>
      </c>
      <c r="G14" s="17">
        <v>1</v>
      </c>
      <c r="H14" s="17">
        <v>5</v>
      </c>
      <c r="I14" s="17">
        <v>2</v>
      </c>
      <c r="J14" s="17">
        <v>0</v>
      </c>
      <c r="K14" s="17">
        <v>5</v>
      </c>
      <c r="L14" s="17">
        <v>4</v>
      </c>
      <c r="M14" s="17">
        <v>1</v>
      </c>
      <c r="N14" s="17">
        <v>2</v>
      </c>
      <c r="O14" s="4">
        <f t="shared" si="0"/>
        <v>2.9</v>
      </c>
      <c r="P14" s="10"/>
      <c r="Q14" s="4">
        <f t="shared" si="1"/>
        <v>2.494117647058824</v>
      </c>
      <c r="R14" s="10"/>
      <c r="S14" s="11"/>
    </row>
    <row r="15" spans="2:19" x14ac:dyDescent="0.35">
      <c r="B15" s="8"/>
      <c r="C15" s="3">
        <f t="shared" si="2"/>
        <v>45992</v>
      </c>
      <c r="D15" s="10"/>
      <c r="E15" s="17">
        <v>4</v>
      </c>
      <c r="F15" s="17">
        <v>2</v>
      </c>
      <c r="G15" s="17">
        <v>1</v>
      </c>
      <c r="H15" s="17">
        <v>4</v>
      </c>
      <c r="I15" s="17">
        <v>1</v>
      </c>
      <c r="J15" s="17">
        <v>5</v>
      </c>
      <c r="K15" s="17">
        <v>1</v>
      </c>
      <c r="L15" s="17">
        <v>0</v>
      </c>
      <c r="M15" s="17">
        <v>0</v>
      </c>
      <c r="N15" s="17">
        <v>1</v>
      </c>
      <c r="O15" s="4">
        <f t="shared" si="0"/>
        <v>1.9</v>
      </c>
      <c r="P15" s="10"/>
      <c r="Q15" s="4">
        <f t="shared" si="1"/>
        <v>2.494117647058824</v>
      </c>
      <c r="R15" s="10"/>
      <c r="S15" s="11"/>
    </row>
    <row r="16" spans="2:19" x14ac:dyDescent="0.35">
      <c r="B16" s="8"/>
      <c r="C16" s="3">
        <f t="shared" si="2"/>
        <v>45993</v>
      </c>
      <c r="D16" s="10"/>
      <c r="E16" s="17">
        <v>4</v>
      </c>
      <c r="F16" s="17">
        <v>4</v>
      </c>
      <c r="G16" s="17">
        <v>0</v>
      </c>
      <c r="H16" s="17">
        <v>5</v>
      </c>
      <c r="I16" s="17">
        <v>3</v>
      </c>
      <c r="J16" s="17">
        <v>1</v>
      </c>
      <c r="K16" s="17">
        <v>3</v>
      </c>
      <c r="L16" s="17">
        <v>2</v>
      </c>
      <c r="M16" s="17">
        <v>4</v>
      </c>
      <c r="N16" s="17">
        <v>5</v>
      </c>
      <c r="O16" s="4">
        <f t="shared" si="0"/>
        <v>3.1</v>
      </c>
      <c r="P16" s="10"/>
      <c r="Q16" s="4">
        <f t="shared" si="1"/>
        <v>2.494117647058824</v>
      </c>
      <c r="R16" s="10"/>
      <c r="S16" s="11"/>
    </row>
    <row r="17" spans="2:19" x14ac:dyDescent="0.35">
      <c r="B17" s="8"/>
      <c r="C17" s="3">
        <f t="shared" si="2"/>
        <v>45994</v>
      </c>
      <c r="D17" s="10"/>
      <c r="E17" s="17">
        <v>3</v>
      </c>
      <c r="F17" s="17">
        <v>2</v>
      </c>
      <c r="G17" s="17">
        <v>4</v>
      </c>
      <c r="H17" s="17">
        <v>4</v>
      </c>
      <c r="I17" s="17">
        <v>3</v>
      </c>
      <c r="J17" s="17">
        <v>1</v>
      </c>
      <c r="K17" s="17">
        <v>4</v>
      </c>
      <c r="L17" s="17">
        <v>3</v>
      </c>
      <c r="M17" s="17">
        <v>3</v>
      </c>
      <c r="N17" s="17">
        <v>2</v>
      </c>
      <c r="O17" s="4">
        <f t="shared" si="0"/>
        <v>2.9</v>
      </c>
      <c r="P17" s="10"/>
      <c r="Q17" s="4">
        <f>AVERAGE($O$12:$O$45)</f>
        <v>2.494117647058824</v>
      </c>
      <c r="R17" s="10"/>
      <c r="S17" s="11"/>
    </row>
    <row r="18" spans="2:19" x14ac:dyDescent="0.35">
      <c r="B18" s="8"/>
      <c r="C18" s="3">
        <f t="shared" si="2"/>
        <v>45995</v>
      </c>
      <c r="D18" s="10"/>
      <c r="E18" s="17">
        <v>2</v>
      </c>
      <c r="F18" s="17">
        <v>4</v>
      </c>
      <c r="G18" s="17">
        <v>5</v>
      </c>
      <c r="H18" s="17">
        <v>4</v>
      </c>
      <c r="I18" s="17">
        <v>4</v>
      </c>
      <c r="J18" s="17">
        <v>0</v>
      </c>
      <c r="K18" s="17">
        <v>2</v>
      </c>
      <c r="L18" s="17">
        <v>4</v>
      </c>
      <c r="M18" s="17">
        <v>3</v>
      </c>
      <c r="N18" s="17">
        <v>4</v>
      </c>
      <c r="O18" s="4">
        <f t="shared" si="0"/>
        <v>3.2</v>
      </c>
      <c r="P18" s="10"/>
      <c r="Q18" s="4">
        <f t="shared" si="1"/>
        <v>2.494117647058824</v>
      </c>
      <c r="R18" s="10"/>
      <c r="S18" s="11"/>
    </row>
    <row r="19" spans="2:19" x14ac:dyDescent="0.35">
      <c r="B19" s="8"/>
      <c r="C19" s="3">
        <f t="shared" si="2"/>
        <v>45996</v>
      </c>
      <c r="D19" s="10"/>
      <c r="E19" s="17">
        <v>1</v>
      </c>
      <c r="F19" s="17">
        <v>1</v>
      </c>
      <c r="G19" s="17">
        <v>4</v>
      </c>
      <c r="H19" s="17">
        <v>0</v>
      </c>
      <c r="I19" s="17">
        <v>1</v>
      </c>
      <c r="J19" s="17">
        <v>3</v>
      </c>
      <c r="K19" s="17">
        <v>4</v>
      </c>
      <c r="L19" s="17">
        <v>2</v>
      </c>
      <c r="M19" s="17">
        <v>2</v>
      </c>
      <c r="N19" s="17">
        <v>1</v>
      </c>
      <c r="O19" s="4">
        <f t="shared" si="0"/>
        <v>1.9</v>
      </c>
      <c r="P19" s="10"/>
      <c r="Q19" s="4">
        <f t="shared" si="1"/>
        <v>2.494117647058824</v>
      </c>
      <c r="R19" s="10"/>
      <c r="S19" s="11"/>
    </row>
    <row r="20" spans="2:19" x14ac:dyDescent="0.35">
      <c r="B20" s="8"/>
      <c r="C20" s="3">
        <f t="shared" si="2"/>
        <v>45997</v>
      </c>
      <c r="D20" s="10"/>
      <c r="E20" s="17">
        <v>3</v>
      </c>
      <c r="F20" s="17">
        <v>4</v>
      </c>
      <c r="G20" s="17">
        <v>2</v>
      </c>
      <c r="H20" s="17">
        <v>2</v>
      </c>
      <c r="I20" s="17">
        <v>2</v>
      </c>
      <c r="J20" s="17">
        <v>2</v>
      </c>
      <c r="K20" s="17">
        <v>2</v>
      </c>
      <c r="L20" s="17">
        <v>5</v>
      </c>
      <c r="M20" s="17">
        <v>5</v>
      </c>
      <c r="N20" s="17">
        <v>4</v>
      </c>
      <c r="O20" s="4">
        <f t="shared" si="0"/>
        <v>3.1</v>
      </c>
      <c r="P20" s="10"/>
      <c r="Q20" s="4">
        <f t="shared" si="1"/>
        <v>2.494117647058824</v>
      </c>
      <c r="R20" s="10"/>
      <c r="S20" s="11"/>
    </row>
    <row r="21" spans="2:19" x14ac:dyDescent="0.35">
      <c r="B21" s="8"/>
      <c r="C21" s="3">
        <f t="shared" si="2"/>
        <v>45998</v>
      </c>
      <c r="D21" s="10"/>
      <c r="E21" s="17">
        <v>2</v>
      </c>
      <c r="F21" s="17">
        <v>3</v>
      </c>
      <c r="G21" s="17">
        <v>4</v>
      </c>
      <c r="H21" s="17">
        <v>5</v>
      </c>
      <c r="I21" s="17">
        <v>3</v>
      </c>
      <c r="J21" s="17">
        <v>0</v>
      </c>
      <c r="K21" s="17">
        <v>1</v>
      </c>
      <c r="L21" s="17">
        <v>0</v>
      </c>
      <c r="M21" s="17">
        <v>2</v>
      </c>
      <c r="N21" s="17">
        <v>2</v>
      </c>
      <c r="O21" s="4">
        <f t="shared" si="0"/>
        <v>2.2000000000000002</v>
      </c>
      <c r="P21" s="10"/>
      <c r="Q21" s="4">
        <f t="shared" si="1"/>
        <v>2.494117647058824</v>
      </c>
      <c r="R21" s="10"/>
      <c r="S21" s="11"/>
    </row>
    <row r="22" spans="2:19" x14ac:dyDescent="0.35">
      <c r="B22" s="8"/>
      <c r="C22" s="3">
        <f t="shared" si="2"/>
        <v>45999</v>
      </c>
      <c r="D22" s="10"/>
      <c r="E22" s="17">
        <v>2</v>
      </c>
      <c r="F22" s="17">
        <v>0</v>
      </c>
      <c r="G22" s="17">
        <v>3</v>
      </c>
      <c r="H22" s="17">
        <v>4</v>
      </c>
      <c r="I22" s="17">
        <v>1</v>
      </c>
      <c r="J22" s="17">
        <v>3</v>
      </c>
      <c r="K22" s="17">
        <v>4</v>
      </c>
      <c r="L22" s="17">
        <v>1</v>
      </c>
      <c r="M22" s="17">
        <v>5</v>
      </c>
      <c r="N22" s="17">
        <v>1</v>
      </c>
      <c r="O22" s="4">
        <f t="shared" si="0"/>
        <v>2.4</v>
      </c>
      <c r="P22" s="10"/>
      <c r="Q22" s="4">
        <f>AVERAGE($O$12:$O$45)</f>
        <v>2.494117647058824</v>
      </c>
      <c r="R22" s="10"/>
      <c r="S22" s="11"/>
    </row>
    <row r="23" spans="2:19" x14ac:dyDescent="0.35">
      <c r="B23" s="8"/>
      <c r="C23" s="3">
        <f t="shared" si="2"/>
        <v>46000</v>
      </c>
      <c r="D23" s="10"/>
      <c r="E23" s="17">
        <v>3</v>
      </c>
      <c r="F23" s="17">
        <v>4</v>
      </c>
      <c r="G23" s="17">
        <v>4</v>
      </c>
      <c r="H23" s="17">
        <v>0</v>
      </c>
      <c r="I23" s="17">
        <v>1</v>
      </c>
      <c r="J23" s="17">
        <v>0</v>
      </c>
      <c r="K23" s="17">
        <v>5</v>
      </c>
      <c r="L23" s="17">
        <v>2</v>
      </c>
      <c r="M23" s="17">
        <v>3</v>
      </c>
      <c r="N23" s="17">
        <v>4</v>
      </c>
      <c r="O23" s="4">
        <f t="shared" si="0"/>
        <v>2.6</v>
      </c>
      <c r="P23" s="10"/>
      <c r="Q23" s="4">
        <f t="shared" si="1"/>
        <v>2.494117647058824</v>
      </c>
      <c r="R23" s="10"/>
      <c r="S23" s="11"/>
    </row>
    <row r="24" spans="2:19" x14ac:dyDescent="0.35">
      <c r="B24" s="8"/>
      <c r="C24" s="3">
        <f t="shared" si="2"/>
        <v>46001</v>
      </c>
      <c r="D24" s="10"/>
      <c r="E24" s="17">
        <v>0</v>
      </c>
      <c r="F24" s="17">
        <v>4</v>
      </c>
      <c r="G24" s="17">
        <v>4</v>
      </c>
      <c r="H24" s="17">
        <v>4</v>
      </c>
      <c r="I24" s="17">
        <v>1</v>
      </c>
      <c r="J24" s="17">
        <v>2</v>
      </c>
      <c r="K24" s="17">
        <v>1</v>
      </c>
      <c r="L24" s="17">
        <v>5</v>
      </c>
      <c r="M24" s="17">
        <v>3</v>
      </c>
      <c r="N24" s="17">
        <v>5</v>
      </c>
      <c r="O24" s="4">
        <f t="shared" si="0"/>
        <v>2.9</v>
      </c>
      <c r="P24" s="10"/>
      <c r="Q24" s="4">
        <f t="shared" si="1"/>
        <v>2.494117647058824</v>
      </c>
      <c r="R24" s="10"/>
      <c r="S24" s="11"/>
    </row>
    <row r="25" spans="2:19" x14ac:dyDescent="0.35">
      <c r="B25" s="8"/>
      <c r="C25" s="3">
        <f t="shared" si="2"/>
        <v>46002</v>
      </c>
      <c r="D25" s="10"/>
      <c r="E25" s="17">
        <v>3</v>
      </c>
      <c r="F25" s="17">
        <v>1</v>
      </c>
      <c r="G25" s="17">
        <v>1</v>
      </c>
      <c r="H25" s="17">
        <v>2</v>
      </c>
      <c r="I25" s="17">
        <v>1</v>
      </c>
      <c r="J25" s="17">
        <v>5</v>
      </c>
      <c r="K25" s="17">
        <v>1</v>
      </c>
      <c r="L25" s="17">
        <v>1</v>
      </c>
      <c r="M25" s="17">
        <v>2</v>
      </c>
      <c r="N25" s="17">
        <v>0</v>
      </c>
      <c r="O25" s="4">
        <f t="shared" si="0"/>
        <v>1.7</v>
      </c>
      <c r="P25" s="10"/>
      <c r="Q25" s="4">
        <f t="shared" si="1"/>
        <v>2.494117647058824</v>
      </c>
      <c r="R25" s="10"/>
      <c r="S25" s="11"/>
    </row>
    <row r="26" spans="2:19" x14ac:dyDescent="0.35">
      <c r="B26" s="8"/>
      <c r="C26" s="3">
        <f t="shared" si="2"/>
        <v>46003</v>
      </c>
      <c r="D26" s="10"/>
      <c r="E26" s="17">
        <v>3</v>
      </c>
      <c r="F26" s="17">
        <v>2</v>
      </c>
      <c r="G26" s="17">
        <v>5</v>
      </c>
      <c r="H26" s="17">
        <v>1</v>
      </c>
      <c r="I26" s="17">
        <v>1</v>
      </c>
      <c r="J26" s="17">
        <v>2</v>
      </c>
      <c r="K26" s="17">
        <v>4</v>
      </c>
      <c r="L26" s="17">
        <v>5</v>
      </c>
      <c r="M26" s="17">
        <v>1</v>
      </c>
      <c r="N26" s="17">
        <v>2</v>
      </c>
      <c r="O26" s="4">
        <f t="shared" si="0"/>
        <v>2.6</v>
      </c>
      <c r="P26" s="10"/>
      <c r="Q26" s="4">
        <f t="shared" si="1"/>
        <v>2.494117647058824</v>
      </c>
      <c r="R26" s="10"/>
      <c r="S26" s="11"/>
    </row>
    <row r="27" spans="2:19" x14ac:dyDescent="0.35">
      <c r="B27" s="8"/>
      <c r="C27" s="3">
        <f t="shared" si="2"/>
        <v>46004</v>
      </c>
      <c r="D27" s="10"/>
      <c r="E27" s="17">
        <v>4</v>
      </c>
      <c r="F27" s="17">
        <v>2</v>
      </c>
      <c r="G27" s="17">
        <v>0</v>
      </c>
      <c r="H27" s="17">
        <v>2</v>
      </c>
      <c r="I27" s="17">
        <v>5</v>
      </c>
      <c r="J27" s="17">
        <v>3</v>
      </c>
      <c r="K27" s="17">
        <v>4</v>
      </c>
      <c r="L27" s="17">
        <v>3</v>
      </c>
      <c r="M27" s="17">
        <v>1</v>
      </c>
      <c r="N27" s="17">
        <v>3</v>
      </c>
      <c r="O27" s="4">
        <f t="shared" si="0"/>
        <v>2.7</v>
      </c>
      <c r="P27" s="10"/>
      <c r="Q27" s="4">
        <f t="shared" si="1"/>
        <v>2.494117647058824</v>
      </c>
      <c r="R27" s="10"/>
      <c r="S27" s="11"/>
    </row>
    <row r="28" spans="2:19" x14ac:dyDescent="0.35">
      <c r="B28" s="8"/>
      <c r="C28" s="3">
        <f t="shared" si="2"/>
        <v>46005</v>
      </c>
      <c r="D28" s="10"/>
      <c r="E28" s="17">
        <v>4</v>
      </c>
      <c r="F28" s="17">
        <v>5</v>
      </c>
      <c r="G28" s="17">
        <v>2</v>
      </c>
      <c r="H28" s="17">
        <v>2</v>
      </c>
      <c r="I28" s="17">
        <v>1</v>
      </c>
      <c r="J28" s="17">
        <v>5</v>
      </c>
      <c r="K28" s="17">
        <v>0</v>
      </c>
      <c r="L28" s="17">
        <v>1</v>
      </c>
      <c r="M28" s="17">
        <v>1</v>
      </c>
      <c r="N28" s="17">
        <v>4</v>
      </c>
      <c r="O28" s="4">
        <f t="shared" si="0"/>
        <v>2.5</v>
      </c>
      <c r="P28" s="10"/>
      <c r="Q28" s="4">
        <f t="shared" si="1"/>
        <v>2.494117647058824</v>
      </c>
      <c r="R28" s="10"/>
      <c r="S28" s="11"/>
    </row>
    <row r="29" spans="2:19" x14ac:dyDescent="0.35">
      <c r="B29" s="8"/>
      <c r="C29" s="3">
        <f t="shared" si="2"/>
        <v>46006</v>
      </c>
      <c r="D29" s="10"/>
      <c r="E29" s="17">
        <v>1</v>
      </c>
      <c r="F29" s="17">
        <v>3</v>
      </c>
      <c r="G29" s="17">
        <v>1</v>
      </c>
      <c r="H29" s="17">
        <v>1</v>
      </c>
      <c r="I29" s="17">
        <v>3</v>
      </c>
      <c r="J29" s="17">
        <v>0</v>
      </c>
      <c r="K29" s="17">
        <v>5</v>
      </c>
      <c r="L29" s="17">
        <v>5</v>
      </c>
      <c r="M29" s="17">
        <v>5</v>
      </c>
      <c r="N29" s="17">
        <v>2</v>
      </c>
      <c r="O29" s="4">
        <f t="shared" si="0"/>
        <v>2.6</v>
      </c>
      <c r="P29" s="10"/>
      <c r="Q29" s="4">
        <f t="shared" si="1"/>
        <v>2.494117647058824</v>
      </c>
      <c r="R29" s="10"/>
      <c r="S29" s="11"/>
    </row>
    <row r="30" spans="2:19" x14ac:dyDescent="0.35">
      <c r="B30" s="8"/>
      <c r="C30" s="3">
        <f t="shared" si="2"/>
        <v>46007</v>
      </c>
      <c r="D30" s="10"/>
      <c r="E30" s="17">
        <v>1</v>
      </c>
      <c r="F30" s="17">
        <v>0</v>
      </c>
      <c r="G30" s="17">
        <v>4</v>
      </c>
      <c r="H30" s="17">
        <v>5</v>
      </c>
      <c r="I30" s="17">
        <v>0</v>
      </c>
      <c r="J30" s="17">
        <v>5</v>
      </c>
      <c r="K30" s="17">
        <v>4</v>
      </c>
      <c r="L30" s="17">
        <v>5</v>
      </c>
      <c r="M30" s="17">
        <v>2</v>
      </c>
      <c r="N30" s="17">
        <v>3</v>
      </c>
      <c r="O30" s="4">
        <f t="shared" si="0"/>
        <v>2.9</v>
      </c>
      <c r="P30" s="10"/>
      <c r="Q30" s="4">
        <f t="shared" si="1"/>
        <v>2.494117647058824</v>
      </c>
      <c r="R30" s="10"/>
      <c r="S30" s="11"/>
    </row>
    <row r="31" spans="2:19" x14ac:dyDescent="0.35">
      <c r="B31" s="8"/>
      <c r="C31" s="3">
        <f t="shared" si="2"/>
        <v>46008</v>
      </c>
      <c r="D31" s="10"/>
      <c r="E31" s="17">
        <v>1</v>
      </c>
      <c r="F31" s="17">
        <v>1</v>
      </c>
      <c r="G31" s="17">
        <v>0</v>
      </c>
      <c r="H31" s="17">
        <v>5</v>
      </c>
      <c r="I31" s="17">
        <v>0</v>
      </c>
      <c r="J31" s="17">
        <v>4</v>
      </c>
      <c r="K31" s="17">
        <v>0</v>
      </c>
      <c r="L31" s="17">
        <v>3</v>
      </c>
      <c r="M31" s="17">
        <v>4</v>
      </c>
      <c r="N31" s="17">
        <v>2</v>
      </c>
      <c r="O31" s="4">
        <f t="shared" si="0"/>
        <v>2</v>
      </c>
      <c r="P31" s="10"/>
      <c r="Q31" s="4">
        <f t="shared" si="1"/>
        <v>2.494117647058824</v>
      </c>
      <c r="R31" s="10"/>
      <c r="S31" s="11"/>
    </row>
    <row r="32" spans="2:19" x14ac:dyDescent="0.35">
      <c r="B32" s="8"/>
      <c r="C32" s="3">
        <f t="shared" si="2"/>
        <v>46009</v>
      </c>
      <c r="D32" s="10"/>
      <c r="E32" s="17">
        <v>5</v>
      </c>
      <c r="F32" s="17">
        <v>0</v>
      </c>
      <c r="G32" s="17">
        <v>5</v>
      </c>
      <c r="H32" s="17">
        <v>0</v>
      </c>
      <c r="I32" s="17">
        <v>2</v>
      </c>
      <c r="J32" s="17">
        <v>5</v>
      </c>
      <c r="K32" s="17">
        <v>3</v>
      </c>
      <c r="L32" s="17">
        <v>2</v>
      </c>
      <c r="M32" s="17">
        <v>3</v>
      </c>
      <c r="N32" s="17">
        <v>3</v>
      </c>
      <c r="O32" s="4">
        <f t="shared" si="0"/>
        <v>2.8</v>
      </c>
      <c r="P32" s="10"/>
      <c r="Q32" s="4">
        <f t="shared" si="1"/>
        <v>2.494117647058824</v>
      </c>
      <c r="R32" s="10"/>
      <c r="S32" s="11"/>
    </row>
    <row r="33" spans="2:19" x14ac:dyDescent="0.35">
      <c r="B33" s="8"/>
      <c r="C33" s="3">
        <f t="shared" si="2"/>
        <v>46010</v>
      </c>
      <c r="D33" s="10"/>
      <c r="E33" s="17">
        <v>2</v>
      </c>
      <c r="F33" s="17">
        <v>3</v>
      </c>
      <c r="G33" s="17">
        <v>4</v>
      </c>
      <c r="H33" s="17">
        <v>1</v>
      </c>
      <c r="I33" s="17">
        <v>2</v>
      </c>
      <c r="J33" s="17">
        <v>3</v>
      </c>
      <c r="K33" s="17">
        <v>3</v>
      </c>
      <c r="L33" s="17">
        <v>2</v>
      </c>
      <c r="M33" s="17">
        <v>0</v>
      </c>
      <c r="N33" s="17">
        <v>4</v>
      </c>
      <c r="O33" s="4">
        <f t="shared" si="0"/>
        <v>2.4</v>
      </c>
      <c r="P33" s="10"/>
      <c r="Q33" s="4">
        <f t="shared" si="1"/>
        <v>2.494117647058824</v>
      </c>
      <c r="R33" s="10"/>
      <c r="S33" s="11"/>
    </row>
    <row r="34" spans="2:19" x14ac:dyDescent="0.35">
      <c r="B34" s="8"/>
      <c r="C34" s="3">
        <f t="shared" si="2"/>
        <v>46011</v>
      </c>
      <c r="D34" s="10"/>
      <c r="E34" s="17">
        <v>3</v>
      </c>
      <c r="F34" s="17">
        <v>3</v>
      </c>
      <c r="G34" s="17">
        <v>4</v>
      </c>
      <c r="H34" s="17">
        <v>1</v>
      </c>
      <c r="I34" s="17">
        <v>1</v>
      </c>
      <c r="J34" s="17">
        <v>4</v>
      </c>
      <c r="K34" s="17">
        <v>0</v>
      </c>
      <c r="L34" s="17">
        <v>3</v>
      </c>
      <c r="M34" s="17">
        <v>1</v>
      </c>
      <c r="N34" s="17">
        <v>3</v>
      </c>
      <c r="O34" s="4">
        <f t="shared" si="0"/>
        <v>2.2999999999999998</v>
      </c>
      <c r="P34" s="10"/>
      <c r="Q34" s="4">
        <f t="shared" si="1"/>
        <v>2.494117647058824</v>
      </c>
      <c r="R34" s="10"/>
      <c r="S34" s="11"/>
    </row>
    <row r="35" spans="2:19" x14ac:dyDescent="0.35">
      <c r="B35" s="8"/>
      <c r="C35" s="3">
        <f t="shared" si="2"/>
        <v>46012</v>
      </c>
      <c r="D35" s="10"/>
      <c r="E35" s="17">
        <v>3</v>
      </c>
      <c r="F35" s="17">
        <v>1</v>
      </c>
      <c r="G35" s="17">
        <v>4</v>
      </c>
      <c r="H35" s="17">
        <v>3</v>
      </c>
      <c r="I35" s="17">
        <v>0</v>
      </c>
      <c r="J35" s="17">
        <v>0</v>
      </c>
      <c r="K35" s="17">
        <v>4</v>
      </c>
      <c r="L35" s="17">
        <v>0</v>
      </c>
      <c r="M35" s="17">
        <v>0</v>
      </c>
      <c r="N35" s="17">
        <v>5</v>
      </c>
      <c r="O35" s="4">
        <f t="shared" si="0"/>
        <v>2</v>
      </c>
      <c r="P35" s="10"/>
      <c r="Q35" s="4">
        <f t="shared" si="1"/>
        <v>2.494117647058824</v>
      </c>
      <c r="R35" s="10"/>
      <c r="S35" s="11"/>
    </row>
    <row r="36" spans="2:19" x14ac:dyDescent="0.35">
      <c r="B36" s="8"/>
      <c r="C36" s="3">
        <f t="shared" si="2"/>
        <v>46013</v>
      </c>
      <c r="D36" s="10"/>
      <c r="E36" s="17">
        <v>4</v>
      </c>
      <c r="F36" s="17">
        <v>4</v>
      </c>
      <c r="G36" s="17">
        <v>3</v>
      </c>
      <c r="H36" s="17">
        <v>0</v>
      </c>
      <c r="I36" s="17">
        <v>0</v>
      </c>
      <c r="J36" s="17">
        <v>4</v>
      </c>
      <c r="K36" s="17">
        <v>0</v>
      </c>
      <c r="L36" s="17">
        <v>0</v>
      </c>
      <c r="M36" s="17">
        <v>5</v>
      </c>
      <c r="N36" s="17">
        <v>2</v>
      </c>
      <c r="O36" s="4">
        <f t="shared" si="0"/>
        <v>2.2000000000000002</v>
      </c>
      <c r="P36" s="10"/>
      <c r="Q36" s="4">
        <f t="shared" si="1"/>
        <v>2.494117647058824</v>
      </c>
      <c r="R36" s="10"/>
      <c r="S36" s="11"/>
    </row>
    <row r="37" spans="2:19" x14ac:dyDescent="0.35">
      <c r="B37" s="8"/>
      <c r="C37" s="3">
        <f t="shared" si="2"/>
        <v>46014</v>
      </c>
      <c r="D37" s="10"/>
      <c r="E37" s="17">
        <v>5</v>
      </c>
      <c r="F37" s="17">
        <v>4</v>
      </c>
      <c r="G37" s="17">
        <v>3</v>
      </c>
      <c r="H37" s="17">
        <v>4</v>
      </c>
      <c r="I37" s="17">
        <v>3</v>
      </c>
      <c r="J37" s="17">
        <v>4</v>
      </c>
      <c r="K37" s="17">
        <v>1</v>
      </c>
      <c r="L37" s="17">
        <v>3</v>
      </c>
      <c r="M37" s="17">
        <v>3</v>
      </c>
      <c r="N37" s="17">
        <v>4</v>
      </c>
      <c r="O37" s="4">
        <f t="shared" si="0"/>
        <v>3.4</v>
      </c>
      <c r="P37" s="10"/>
      <c r="Q37" s="4">
        <f t="shared" si="1"/>
        <v>2.494117647058824</v>
      </c>
      <c r="R37" s="10"/>
      <c r="S37" s="11"/>
    </row>
    <row r="38" spans="2:19" x14ac:dyDescent="0.35">
      <c r="B38" s="8"/>
      <c r="C38" s="3">
        <f t="shared" si="2"/>
        <v>46015</v>
      </c>
      <c r="D38" s="10"/>
      <c r="E38" s="17">
        <v>0</v>
      </c>
      <c r="F38" s="17">
        <v>2</v>
      </c>
      <c r="G38" s="17">
        <v>2</v>
      </c>
      <c r="H38" s="17">
        <v>4</v>
      </c>
      <c r="I38" s="17">
        <v>1</v>
      </c>
      <c r="J38" s="17">
        <v>3</v>
      </c>
      <c r="K38" s="17">
        <v>4</v>
      </c>
      <c r="L38" s="17">
        <v>3</v>
      </c>
      <c r="M38" s="17">
        <v>2</v>
      </c>
      <c r="N38" s="17">
        <v>1</v>
      </c>
      <c r="O38" s="4">
        <f t="shared" si="0"/>
        <v>2.2000000000000002</v>
      </c>
      <c r="P38" s="10"/>
      <c r="Q38" s="4">
        <f t="shared" si="1"/>
        <v>2.494117647058824</v>
      </c>
      <c r="R38" s="10"/>
      <c r="S38" s="11"/>
    </row>
    <row r="39" spans="2:19" x14ac:dyDescent="0.35">
      <c r="B39" s="8"/>
      <c r="C39" s="3">
        <f t="shared" si="2"/>
        <v>46016</v>
      </c>
      <c r="D39" s="10"/>
      <c r="E39" s="17">
        <v>5</v>
      </c>
      <c r="F39" s="17">
        <v>1</v>
      </c>
      <c r="G39" s="17">
        <v>4</v>
      </c>
      <c r="H39" s="17">
        <v>4</v>
      </c>
      <c r="I39" s="17">
        <v>4</v>
      </c>
      <c r="J39" s="17">
        <v>0</v>
      </c>
      <c r="K39" s="17">
        <v>4</v>
      </c>
      <c r="L39" s="17">
        <v>2</v>
      </c>
      <c r="M39" s="17">
        <v>1</v>
      </c>
      <c r="N39" s="17">
        <v>2</v>
      </c>
      <c r="O39" s="4">
        <f t="shared" si="0"/>
        <v>2.7</v>
      </c>
      <c r="P39" s="10"/>
      <c r="Q39" s="4">
        <f t="shared" si="1"/>
        <v>2.494117647058824</v>
      </c>
      <c r="R39" s="10"/>
      <c r="S39" s="11"/>
    </row>
    <row r="40" spans="2:19" x14ac:dyDescent="0.35">
      <c r="B40" s="8"/>
      <c r="C40" s="3">
        <f t="shared" si="2"/>
        <v>46017</v>
      </c>
      <c r="D40" s="10"/>
      <c r="E40" s="17">
        <v>4</v>
      </c>
      <c r="F40" s="17">
        <v>2</v>
      </c>
      <c r="G40" s="17">
        <v>3</v>
      </c>
      <c r="H40" s="17">
        <v>5</v>
      </c>
      <c r="I40" s="17">
        <v>1</v>
      </c>
      <c r="J40" s="17">
        <v>5</v>
      </c>
      <c r="K40" s="17">
        <v>0</v>
      </c>
      <c r="L40" s="17">
        <v>3</v>
      </c>
      <c r="M40" s="17">
        <v>4</v>
      </c>
      <c r="N40" s="17">
        <v>0</v>
      </c>
      <c r="O40" s="4">
        <f t="shared" si="0"/>
        <v>2.7</v>
      </c>
      <c r="P40" s="10"/>
      <c r="Q40" s="4">
        <f t="shared" si="1"/>
        <v>2.494117647058824</v>
      </c>
      <c r="R40" s="10"/>
      <c r="S40" s="11"/>
    </row>
    <row r="41" spans="2:19" x14ac:dyDescent="0.35">
      <c r="B41" s="8"/>
      <c r="C41" s="3">
        <f t="shared" si="2"/>
        <v>46018</v>
      </c>
      <c r="D41" s="10"/>
      <c r="E41" s="17">
        <v>3</v>
      </c>
      <c r="F41" s="17">
        <v>3</v>
      </c>
      <c r="G41" s="17">
        <v>5</v>
      </c>
      <c r="H41" s="17">
        <v>5</v>
      </c>
      <c r="I41" s="17">
        <v>2</v>
      </c>
      <c r="J41" s="17">
        <v>5</v>
      </c>
      <c r="K41" s="17">
        <v>4</v>
      </c>
      <c r="L41" s="17">
        <v>3</v>
      </c>
      <c r="M41" s="17">
        <v>5</v>
      </c>
      <c r="N41" s="17">
        <v>1</v>
      </c>
      <c r="O41" s="4">
        <f t="shared" si="0"/>
        <v>3.6</v>
      </c>
      <c r="P41" s="10"/>
      <c r="Q41" s="4">
        <f t="shared" si="1"/>
        <v>2.494117647058824</v>
      </c>
      <c r="R41" s="10"/>
      <c r="S41" s="11"/>
    </row>
    <row r="42" spans="2:19" x14ac:dyDescent="0.35">
      <c r="B42" s="8"/>
      <c r="C42" s="3">
        <f t="shared" si="2"/>
        <v>46019</v>
      </c>
      <c r="D42" s="10"/>
      <c r="E42" s="17">
        <v>3</v>
      </c>
      <c r="F42" s="17">
        <v>2</v>
      </c>
      <c r="G42" s="17">
        <v>1</v>
      </c>
      <c r="H42" s="17">
        <v>4</v>
      </c>
      <c r="I42" s="17">
        <v>1</v>
      </c>
      <c r="J42" s="17">
        <v>1</v>
      </c>
      <c r="K42" s="17">
        <v>2</v>
      </c>
      <c r="L42" s="17">
        <v>3</v>
      </c>
      <c r="M42" s="17">
        <v>0</v>
      </c>
      <c r="N42" s="17">
        <v>4</v>
      </c>
      <c r="O42" s="4">
        <f t="shared" si="0"/>
        <v>2.1</v>
      </c>
      <c r="P42" s="10"/>
      <c r="Q42" s="4">
        <f t="shared" si="1"/>
        <v>2.494117647058824</v>
      </c>
      <c r="R42" s="10"/>
      <c r="S42" s="11"/>
    </row>
    <row r="43" spans="2:19" x14ac:dyDescent="0.35">
      <c r="B43" s="8"/>
      <c r="C43" s="3">
        <f>C42+1</f>
        <v>46020</v>
      </c>
      <c r="D43" s="10"/>
      <c r="E43" s="17">
        <v>4</v>
      </c>
      <c r="F43" s="17">
        <v>3</v>
      </c>
      <c r="G43" s="17">
        <v>5</v>
      </c>
      <c r="H43" s="17">
        <v>5</v>
      </c>
      <c r="I43" s="17">
        <v>1</v>
      </c>
      <c r="J43" s="17">
        <v>3</v>
      </c>
      <c r="K43" s="17">
        <v>3</v>
      </c>
      <c r="L43" s="17">
        <v>3</v>
      </c>
      <c r="M43" s="17">
        <v>3</v>
      </c>
      <c r="N43" s="17">
        <v>2</v>
      </c>
      <c r="O43" s="4">
        <f t="shared" si="0"/>
        <v>3.2</v>
      </c>
      <c r="P43" s="10"/>
      <c r="Q43" s="4">
        <f t="shared" si="1"/>
        <v>2.494117647058824</v>
      </c>
      <c r="R43" s="10"/>
      <c r="S43" s="11"/>
    </row>
    <row r="44" spans="2:19" x14ac:dyDescent="0.35">
      <c r="B44" s="8"/>
      <c r="C44" s="3">
        <f t="shared" si="2"/>
        <v>46021</v>
      </c>
      <c r="D44" s="10"/>
      <c r="E44" s="17">
        <v>0</v>
      </c>
      <c r="F44" s="17">
        <v>0</v>
      </c>
      <c r="G44" s="17">
        <v>0</v>
      </c>
      <c r="H44" s="17">
        <v>1</v>
      </c>
      <c r="I44" s="17">
        <v>1</v>
      </c>
      <c r="J44" s="17">
        <v>2</v>
      </c>
      <c r="K44" s="17">
        <v>0</v>
      </c>
      <c r="L44" s="17">
        <v>3</v>
      </c>
      <c r="M44" s="17">
        <v>3</v>
      </c>
      <c r="N44" s="17">
        <v>2</v>
      </c>
      <c r="O44" s="4">
        <f t="shared" si="0"/>
        <v>1.2</v>
      </c>
      <c r="P44" s="10"/>
      <c r="Q44" s="4">
        <f t="shared" si="1"/>
        <v>2.494117647058824</v>
      </c>
      <c r="R44" s="10"/>
      <c r="S44" s="11"/>
    </row>
    <row r="45" spans="2:19" ht="15" thickBot="1" x14ac:dyDescent="0.4">
      <c r="B45" s="18"/>
      <c r="C45" s="21">
        <f t="shared" si="2"/>
        <v>46022</v>
      </c>
      <c r="D45" s="19"/>
      <c r="E45" s="22">
        <v>5</v>
      </c>
      <c r="F45" s="22">
        <v>2</v>
      </c>
      <c r="G45" s="22">
        <v>3</v>
      </c>
      <c r="H45" s="22">
        <v>1</v>
      </c>
      <c r="I45" s="22">
        <v>1</v>
      </c>
      <c r="J45" s="22">
        <v>3</v>
      </c>
      <c r="K45" s="22">
        <v>1</v>
      </c>
      <c r="L45" s="22">
        <v>0</v>
      </c>
      <c r="M45" s="22">
        <v>2</v>
      </c>
      <c r="N45" s="22">
        <v>1</v>
      </c>
      <c r="O45" s="23">
        <f t="shared" si="0"/>
        <v>1.9</v>
      </c>
      <c r="P45" s="19"/>
      <c r="Q45" s="23">
        <f t="shared" si="1"/>
        <v>2.494117647058824</v>
      </c>
      <c r="R45" s="19"/>
      <c r="S45" s="20"/>
    </row>
  </sheetData>
  <mergeCells count="1">
    <mergeCell ref="E10:N10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AC7CE-0040-4AE9-845E-2FC45B24A515}">
  <sheetPr>
    <tabColor rgb="FFFFC000"/>
  </sheetPr>
  <dimension ref="A1"/>
  <sheetViews>
    <sheetView showGridLines="0" workbookViewId="0">
      <selection activeCell="G4" sqref="G4"/>
    </sheetView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Feeder</vt:lpstr>
      <vt:lpstr>Control Chart Summary 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Vinod w</dc:creator>
  <cp:lastModifiedBy>Vinod w</cp:lastModifiedBy>
  <dcterms:created xsi:type="dcterms:W3CDTF">2025-12-26T12:21:10Z</dcterms:created>
  <dcterms:modified xsi:type="dcterms:W3CDTF">2025-12-27T11:59:17Z</dcterms:modified>
</cp:coreProperties>
</file>