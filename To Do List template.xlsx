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6FD375D2-449B-45BF-B5E1-C49F52DD31BC}" xr6:coauthVersionLast="47" xr6:coauthVersionMax="47" xr10:uidLastSave="{00000000-0000-0000-0000-000000000000}"/>
  <bookViews>
    <workbookView xWindow="-110" yWindow="-110" windowWidth="19420" windowHeight="11500" xr2:uid="{765A5688-393F-4489-A91F-61128F750CCD}"/>
  </bookViews>
  <sheets>
    <sheet name="TO DO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9" i="1"/>
  <c r="F5" i="1"/>
  <c r="F2" i="1"/>
</calcChain>
</file>

<file path=xl/sharedStrings.xml><?xml version="1.0" encoding="utf-8"?>
<sst xmlns="http://schemas.openxmlformats.org/spreadsheetml/2006/main" count="28" uniqueCount="21">
  <si>
    <t>Task Name</t>
  </si>
  <si>
    <t>Priority</t>
  </si>
  <si>
    <t>Status</t>
  </si>
  <si>
    <t>Fire Safety Inspection</t>
  </si>
  <si>
    <t>High</t>
  </si>
  <si>
    <t>CCTV Monitoring Review</t>
  </si>
  <si>
    <t>Medium</t>
  </si>
  <si>
    <t>Emergency Drill</t>
  </si>
  <si>
    <t>Road Safety Audit</t>
  </si>
  <si>
    <t>First Aid Training</t>
  </si>
  <si>
    <t>Public Awareness Campaign</t>
  </si>
  <si>
    <t>Low</t>
  </si>
  <si>
    <t>Equipment Maintenance</t>
  </si>
  <si>
    <t>Incident Report Review</t>
  </si>
  <si>
    <t>Safety Signage Check</t>
  </si>
  <si>
    <t>Disaster Response Planning</t>
  </si>
  <si>
    <t>BUSINESS - PUBLIC SAFETY</t>
  </si>
  <si>
    <t>Total Task</t>
  </si>
  <si>
    <t>Pending</t>
  </si>
  <si>
    <t>Completed</t>
  </si>
  <si>
    <t xml:space="preserve">TO-DO 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</si>
</sst>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5" borderId="2" xfId="0" applyFont="1" applyFill="1" applyBorder="1"/>
    <xf numFmtId="0" fontId="2" fillId="3" borderId="2" xfId="0" applyFont="1" applyFill="1" applyBorder="1"/>
    <xf numFmtId="0" fontId="3" fillId="4" borderId="2" xfId="0" applyFont="1" applyFill="1" applyBorder="1"/>
    <xf numFmtId="0" fontId="6" fillId="2" borderId="4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right"/>
    </xf>
    <xf numFmtId="0" fontId="6" fillId="2" borderId="7" xfId="0" applyFont="1" applyFill="1" applyBorder="1" applyAlignment="1">
      <alignment horizontal="right"/>
    </xf>
    <xf numFmtId="0" fontId="6" fillId="2" borderId="0" xfId="0" applyFont="1" applyFill="1" applyBorder="1" applyAlignment="1">
      <alignment horizontal="right"/>
    </xf>
    <xf numFmtId="0" fontId="6" fillId="2" borderId="8" xfId="0" applyFont="1" applyFill="1" applyBorder="1" applyAlignment="1">
      <alignment horizontal="right"/>
    </xf>
    <xf numFmtId="0" fontId="2" fillId="7" borderId="7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7" fillId="0" borderId="7" xfId="0" applyFont="1" applyBorder="1"/>
    <xf numFmtId="0" fontId="7" fillId="0" borderId="0" xfId="0" applyFont="1" applyBorder="1"/>
    <xf numFmtId="0" fontId="7" fillId="0" borderId="9" xfId="0" applyFont="1" applyBorder="1"/>
    <xf numFmtId="0" fontId="7" fillId="0" borderId="10" xfId="0" applyFont="1" applyBorder="1"/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quotePrefix="1"/>
    <xf numFmtId="9" fontId="4" fillId="6" borderId="1" xfId="1" applyFont="1" applyFill="1" applyBorder="1" applyAlignment="1">
      <alignment horizontal="center"/>
    </xf>
    <xf numFmtId="9" fontId="4" fillId="6" borderId="2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8"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61310</xdr:colOff>
      <xdr:row>0</xdr:row>
      <xdr:rowOff>0</xdr:rowOff>
    </xdr:from>
    <xdr:to>
      <xdr:col>1</xdr:col>
      <xdr:colOff>744483</xdr:colOff>
      <xdr:row>2</xdr:row>
      <xdr:rowOff>43793</xdr:rowOff>
    </xdr:to>
    <xdr:pic>
      <xdr:nvPicPr>
        <xdr:cNvPr id="3" name="Graphic 2" descr="Architecture outline">
          <a:extLst>
            <a:ext uri="{FF2B5EF4-FFF2-40B4-BE49-F238E27FC236}">
              <a16:creationId xmlns:a16="http://schemas.microsoft.com/office/drawing/2014/main" id="{7BFE5BCA-748B-05CC-E90B-BFC95294F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3931" y="0"/>
          <a:ext cx="683173" cy="42041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53D61-1CC7-483F-B316-04519DF7A24D}" name="TblTasks" displayName="TblTasks" ref="B5:D15" totalsRowShown="0" headerRowDxfId="4" dataDxfId="7">
  <tableColumns count="3">
    <tableColumn id="1" xr3:uid="{0BC63DE7-A0C5-4683-AA88-C43A5179EE0F}" name="Task Name" dataDxfId="6"/>
    <tableColumn id="2" xr3:uid="{4A2D93A3-8556-4762-B617-DAB0AB0C4B41}" name="Priority" dataDxfId="5"/>
    <tableColumn id="3" xr3:uid="{F4171EDE-12C3-43D7-82B8-C8EA16F5E3EE}" name="Status" dataDxfId="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B6CF-2E38-4823-9AD3-A0C4C6A40C26}">
  <dimension ref="B1:I15"/>
  <sheetViews>
    <sheetView tabSelected="1" zoomScale="145" zoomScaleNormal="145" workbookViewId="0">
      <selection activeCell="G8" sqref="G8"/>
    </sheetView>
  </sheetViews>
  <sheetFormatPr defaultRowHeight="14.5" x14ac:dyDescent="0.35"/>
  <cols>
    <col min="1" max="1" width="1.7265625" customWidth="1"/>
    <col min="2" max="2" width="19.54296875" bestFit="1" customWidth="1"/>
    <col min="3" max="3" width="6.81640625" bestFit="1" customWidth="1"/>
    <col min="4" max="4" width="8.1796875" customWidth="1"/>
    <col min="5" max="5" width="1.36328125" customWidth="1"/>
    <col min="6" max="6" width="10.08984375" customWidth="1"/>
  </cols>
  <sheetData>
    <row r="1" spans="2:9" ht="15" thickBot="1" x14ac:dyDescent="0.4">
      <c r="B1" s="4" t="s">
        <v>20</v>
      </c>
      <c r="C1" s="5"/>
      <c r="D1" s="6"/>
    </row>
    <row r="2" spans="2:9" x14ac:dyDescent="0.35">
      <c r="B2" s="7"/>
      <c r="C2" s="8"/>
      <c r="D2" s="9"/>
      <c r="F2" s="28">
        <f>IFERROR(COUNTIF(D6:D15,TRUE)/COUNTA(B6:B15),0)</f>
        <v>0.7</v>
      </c>
      <c r="I2" s="27"/>
    </row>
    <row r="3" spans="2:9" ht="15" thickBot="1" x14ac:dyDescent="0.4">
      <c r="B3" s="10" t="s">
        <v>16</v>
      </c>
      <c r="C3" s="11"/>
      <c r="D3" s="12"/>
      <c r="F3" s="29"/>
    </row>
    <row r="4" spans="2:9" ht="6.5" customHeight="1" thickBot="1" x14ac:dyDescent="0.4">
      <c r="B4" s="13"/>
      <c r="C4" s="14"/>
      <c r="D4" s="15"/>
    </row>
    <row r="5" spans="2:9" x14ac:dyDescent="0.35">
      <c r="B5" s="20" t="s">
        <v>0</v>
      </c>
      <c r="C5" s="21" t="s">
        <v>1</v>
      </c>
      <c r="D5" s="22" t="s">
        <v>2</v>
      </c>
      <c r="F5" s="23">
        <f>COUNTA(B6:B15)</f>
        <v>10</v>
      </c>
    </row>
    <row r="6" spans="2:9" x14ac:dyDescent="0.35">
      <c r="B6" s="16" t="s">
        <v>3</v>
      </c>
      <c r="C6" s="17" t="s">
        <v>4</v>
      </c>
      <c r="D6" s="25" t="b">
        <v>1</v>
      </c>
      <c r="F6" s="24"/>
    </row>
    <row r="7" spans="2:9" ht="15" thickBot="1" x14ac:dyDescent="0.4">
      <c r="B7" s="16" t="s">
        <v>5</v>
      </c>
      <c r="C7" s="17" t="s">
        <v>6</v>
      </c>
      <c r="D7" s="25" t="b">
        <v>1</v>
      </c>
      <c r="F7" s="1" t="s">
        <v>17</v>
      </c>
      <c r="I7" s="27"/>
    </row>
    <row r="8" spans="2:9" ht="15" thickBot="1" x14ac:dyDescent="0.4">
      <c r="B8" s="16" t="s">
        <v>7</v>
      </c>
      <c r="C8" s="17" t="s">
        <v>4</v>
      </c>
      <c r="D8" s="25" t="b">
        <v>1</v>
      </c>
    </row>
    <row r="9" spans="2:9" x14ac:dyDescent="0.35">
      <c r="B9" s="16" t="s">
        <v>8</v>
      </c>
      <c r="C9" s="17" t="s">
        <v>4</v>
      </c>
      <c r="D9" s="25" t="b">
        <v>1</v>
      </c>
      <c r="F9" s="23">
        <f>COUNTIF(D6:D15,FALSE)</f>
        <v>3</v>
      </c>
    </row>
    <row r="10" spans="2:9" x14ac:dyDescent="0.35">
      <c r="B10" s="16" t="s">
        <v>9</v>
      </c>
      <c r="C10" s="17" t="s">
        <v>6</v>
      </c>
      <c r="D10" s="25" t="b">
        <v>1</v>
      </c>
      <c r="F10" s="24"/>
    </row>
    <row r="11" spans="2:9" ht="15" thickBot="1" x14ac:dyDescent="0.4">
      <c r="B11" s="16" t="s">
        <v>10</v>
      </c>
      <c r="C11" s="17" t="s">
        <v>11</v>
      </c>
      <c r="D11" s="25" t="b">
        <v>1</v>
      </c>
      <c r="F11" s="2" t="s">
        <v>18</v>
      </c>
      <c r="I11" s="27"/>
    </row>
    <row r="12" spans="2:9" ht="15" thickBot="1" x14ac:dyDescent="0.4">
      <c r="B12" s="16" t="s">
        <v>12</v>
      </c>
      <c r="C12" s="17" t="s">
        <v>6</v>
      </c>
      <c r="D12" s="25" t="b">
        <v>1</v>
      </c>
    </row>
    <row r="13" spans="2:9" ht="14.5" customHeight="1" x14ac:dyDescent="0.35">
      <c r="B13" s="16" t="s">
        <v>13</v>
      </c>
      <c r="C13" s="17" t="s">
        <v>4</v>
      </c>
      <c r="D13" s="25" t="b">
        <v>0</v>
      </c>
      <c r="F13" s="23">
        <f>COUNTIF(D6:D15,TRUE)</f>
        <v>7</v>
      </c>
    </row>
    <row r="14" spans="2:9" ht="14.5" customHeight="1" x14ac:dyDescent="0.35">
      <c r="B14" s="16" t="s">
        <v>14</v>
      </c>
      <c r="C14" s="17" t="s">
        <v>11</v>
      </c>
      <c r="D14" s="25" t="b">
        <v>0</v>
      </c>
      <c r="F14" s="24"/>
    </row>
    <row r="15" spans="2:9" ht="15" thickBot="1" x14ac:dyDescent="0.4">
      <c r="B15" s="18" t="s">
        <v>15</v>
      </c>
      <c r="C15" s="19" t="s">
        <v>4</v>
      </c>
      <c r="D15" s="26" t="b">
        <v>0</v>
      </c>
      <c r="F15" s="3" t="s">
        <v>19</v>
      </c>
      <c r="I15" s="27"/>
    </row>
  </sheetData>
  <mergeCells count="6">
    <mergeCell ref="F13:F14"/>
    <mergeCell ref="B1:D2"/>
    <mergeCell ref="B3:D3"/>
    <mergeCell ref="F2:F3"/>
    <mergeCell ref="F5:F6"/>
    <mergeCell ref="F9:F10"/>
  </mergeCells>
  <conditionalFormatting sqref="C6:C15">
    <cfRule type="containsText" dxfId="1" priority="3" operator="containsText" text="High">
      <formula>NOT(ISERROR(SEARCH("High",C6)))</formula>
    </cfRule>
    <cfRule type="containsText" dxfId="2" priority="2" operator="containsText" text="Low">
      <formula>NOT(ISERROR(SEARCH("Low",C6)))</formula>
    </cfRule>
    <cfRule type="containsText" dxfId="3" priority="1" operator="containsText" text="Medium">
      <formula>NOT(ISERROR(SEARCH("Medium",C6)))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DO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2026-01-22T09:01:45Z</dcterms:created>
  <dcterms:modified xsi:type="dcterms:W3CDTF">2026-01-23T21:00:59Z</dcterms:modified>
</cp:coreProperties>
</file>