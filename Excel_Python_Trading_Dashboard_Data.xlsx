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2"/>
  <workbookPr/>
  <mc:AlternateContent xmlns:mc="http://schemas.openxmlformats.org/markup-compatibility/2006">
    <mc:Choice Requires="x15">
      <x15ac:absPath xmlns:x15ac="http://schemas.microsoft.com/office/spreadsheetml/2010/11/ac" url="C:\Users\DrVin\Downloads\"/>
    </mc:Choice>
  </mc:AlternateContent>
  <xr:revisionPtr revIDLastSave="0" documentId="8_{00988673-BEBB-4782-89A0-8AA09A170AF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rading_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 a="1"/>
  <c r="I7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11"/>
        </ext>
      </extLst>
    </bk>
    <bk>
      <extLst>
        <ext uri="{3e2802c4-a4d2-4d8b-9148-e3be6c30e623}">
          <xlrd:rvb i="15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xl(%P2%, headers=True)</code>
    </pythonScript>
    <pythonScript>
      <code>import pandas as pd
import numpy as np
import matplotlib.pyplot as plt
# Read Excel data
df = xl(%P2%, headers=True)
# Convert Date
df["Date"] = pd.to_datetime(df["Date"])
# Reset index
df = df.reset_index(drop=True)
# =========================
# EMA CALCULATIONS
# =========================
df["EMA9"] = df["Close"].ewm(span=9, adjust=False).mean()
df["EMA21"] = df["Close"].ewm(span=21, adjust=False).mean()
df["EMA50"] = df["Close"].ewm(span=50, adjust=False).mean()
# =========================
# RSI 14
# =========================
delta = df["Close"].diff()
gain = delta.clip(lower=0)
loss = -delta.clip(upper=0)
avg_gain = gain.rolling(14).mean()
avg_loss = loss.rolling(14).mean()
rs = avg_gain / avg_loss
df["RSI"] = 100 - (100 / (1 + rs))
# =========================
# CREATE DASHBOARD
# =========================
fig, (ax1, ax2, ax3) = plt.subplots(
    3,
    1,
    figsize=(14, 10),
    sharex=True,
    gridspec_kw={
        "height_ratios": [4, 1.3, 1.5]
    }
)
# =========================
# CANDLESTICK
# =========================
for i, row in df.iterrows():
    if row["Close"] &gt;= row["Open"]:
        candle_color = "green"
    else:
        candle_color = "red"
    # High-Low wick
    ax1.plot(
        [i, i],
        [row["Low"], row["High"]],
        color=candle_color,
        linewidth=1
    )
    # Candle body
    body_bottom = min(row["Open"], row["Close"])
    body_height = abs(row["Close"] - row["Open"])
    if body_height == 0:
        body_height = 0.05
    ax1.bar(
        i,
        body_height,
        bottom=body_bottom,
        width=0.65,
        color=candle_color
    )
# =========================
# EMA LINES
# =========================
ax1.plot(
    df.index,
    df["EMA9"],
    linewidth=1.5,
    label="EMA 9"
)
ax1.plot(
    df.index,
    df["EMA21"],
    linewidth=2,
    label="EMA 21"
)
ax1.plot(
    df.index,
    df["EMA50"],
    linewidth=1.5,
    label="EMA 50"
)
ax1.set_title(
    "Excel Trading Dashboard | Candlestick + EMA",
    fontsize=16,
    fontweight="bold"
)
ax1.set_ylabel("Price")
ax1.legend(
    loc="upper left"
)
ax1.grid(alpha=0.2)
# =========================
# VOLUME
# =========================
volume_colors = [
    "green" if row["Close"] &gt;= row["Open"] else "red"
    for _, row in df.iterrows()
]
ax2.bar(
    df.index,
    df["Volume"],
    color=volume_colors,
    width=0.7
)
ax2.set_ylabel("Volume")
ax2.grid(alpha=0.2)
# =========================
# RSI
# =========================
ax3.plot(
    df.index,
    df["RSI"],
    linewidth=2,
    label="RSI 14"
)
ax3.axhline(
    70,
    linestyle="--",
    linewidth=1
)
ax3.axhline(
    30,
    linestyle="--",
    linewidth=1
)
ax3.fill_between(
    df.index,
    70,
    100,
    alpha=0.08
)
ax3.fill_between(
    df.index,
    0,
    30,
    alpha=0.08
)
ax3.set_ylim(0, 100)
ax3.set_ylabel("RSI")
ax3.set_xlabel("Trading Days")
ax3.grid(alpha=0.2)
# =========================
# X-AXIS LABELS
# =========================
tick_positions = np.linspace(
    0,
    len(df) - 1,
    8,
    dtype=int
)
ax3.set_xticks(tick_positions)
ax3.set_xticklabels(
    df["Date"].dt.strftime("%%d-%%b").iloc[tick_positions],
    rotation=45
)
plt.tight_layout()
plt.show()</code>
    </pythonScript>
  </pythonScripts>
</python>
</file>

<file path=xl/sharedStrings.xml><?xml version="1.0" encoding="utf-8"?>
<sst xmlns="http://schemas.openxmlformats.org/spreadsheetml/2006/main" count="13" uniqueCount="7">
  <si>
    <t>Date</t>
  </si>
  <si>
    <t>Open</t>
  </si>
  <si>
    <t>High</t>
  </si>
  <si>
    <t>Low</t>
  </si>
  <si>
    <t>Close</t>
  </si>
  <si>
    <t>Volume</t>
  </si>
  <si>
    <t>VVW Media 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</si>
</sst>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/>
    <xf numFmtId="14" fontId="2" fillId="3" borderId="0" xfId="0" applyNumberFormat="1" applyFont="1" applyFill="1"/>
    <xf numFmtId="0" fontId="2" fillId="3" borderId="0" xfId="0" applyFont="1" applyFill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93E1446-943C-4487-BBD5-6B9E2BEE45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ichStyles" Target="richData/richStyles.xml"/><Relationship Id="rId5" Type="http://schemas.openxmlformats.org/officeDocument/2006/relationships/sharedStrings" Target="sharedString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203200</xdr:colOff>
      <xdr:row>3</xdr:row>
      <xdr:rowOff>165100</xdr:rowOff>
    </xdr:from>
    <xdr:to>
      <xdr:col>20</xdr:col>
      <xdr:colOff>608586</xdr:colOff>
      <xdr:row>36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60123C-B89B-32E6-52D8-5170F2081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51500" y="717550"/>
          <a:ext cx="8939786" cy="6064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300181</xdr:colOff>
      <xdr:row>8</xdr:row>
      <xdr:rowOff>161637</xdr:rowOff>
    </xdr:from>
    <xdr:to>
      <xdr:col>34</xdr:col>
      <xdr:colOff>46181</xdr:colOff>
      <xdr:row>60</xdr:row>
      <xdr:rowOff>15010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730EF8-8B6F-09B6-C677-22188982F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0090" y="1639455"/>
          <a:ext cx="15043727" cy="945919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">
  <a r="12" c="7">
    <v t="s"/>
    <v t="s">Date</v>
    <v t="s">Open</v>
    <v t="s">High</v>
    <v t="s">Low</v>
    <v t="s">Close</v>
    <v t="s">Volume</v>
    <v>0</v>
    <v t="r">0</v>
    <v>100</v>
    <v>101.11</v>
    <v>99.05</v>
    <v>100.06</v>
    <v>367524</v>
    <v>1</v>
    <v t="r">1</v>
    <v>100.06</v>
    <v>101.92</v>
    <v>97.78</v>
    <v>100.07</v>
    <v>148814</v>
    <v>2</v>
    <v t="r">2</v>
    <v>100.07</v>
    <v>101</v>
    <v>98.47</v>
    <v>99.98</v>
    <v>130917</v>
    <v>3</v>
    <v t="r">3</v>
    <v>99.98</v>
    <v>101.46</v>
    <v>98.18</v>
    <v>100.56</v>
    <v>334717</v>
    <v>4</v>
    <v t="r">3</v>
    <v>100.56</v>
    <v>103.53</v>
    <v>100.05</v>
    <v>101.41</v>
    <v>450962</v>
    <v t="s">...</v>
    <v t="s">...</v>
    <v t="s">...</v>
    <v t="s">...</v>
    <v t="s">...</v>
    <v t="s">...</v>
    <v t="s">...</v>
    <v>55</v>
    <v t="r">4</v>
    <v>131.74</v>
    <v>133.4</v>
    <v>129.41</v>
    <v>131</v>
    <v>421344</v>
    <v>56</v>
    <v t="r">5</v>
    <v>131</v>
    <v>135.33000000000001</v>
    <v>128.79</v>
    <v>133.83000000000001</v>
    <v>269293</v>
    <v>57</v>
    <v t="r">6</v>
    <v>133.83000000000001</v>
    <v>137.53</v>
    <v>133.16999999999999</v>
    <v>135.11000000000001</v>
    <v>227788</v>
    <v>58</v>
    <v t="r">7</v>
    <v>135.11000000000001</v>
    <v>136.08000000000001</v>
    <v>132.24</v>
    <v>132.97999999999999</v>
    <v>590105</v>
    <v>59</v>
    <v t="r">8</v>
    <v>132.97999999999999</v>
    <v>133.97</v>
    <v>129.94999999999999</v>
    <v>131.63999999999999</v>
    <v>411105</v>
  </a>
  <a r="2">
    <v>1389</v>
    <v>990</v>
  </a>
</arrayData>
</file>

<file path=xl/richData/rdrichvalue.xml><?xml version="1.0" encoding="utf-8"?>
<rvData xmlns="http://schemas.microsoft.com/office/spreadsheetml/2017/richdata" count="16">
  <rv s="0">
    <fb>46204</fb>
    <v>2</v>
  </rv>
  <rv s="0">
    <fb>46205</fb>
    <v>2</v>
  </rv>
  <rv s="0">
    <fb>46206</fb>
    <v>2</v>
  </rv>
  <rv s="0">
    <fb>46209</fb>
    <v>2</v>
  </rv>
  <rv s="0">
    <fb>46259</fb>
    <v>2</v>
  </rv>
  <rv s="0">
    <fb>46260</fb>
    <v>2</v>
  </rv>
  <rv s="0">
    <fb>46261</fb>
    <v>2</v>
  </rv>
  <rv s="0">
    <fb>46262</fb>
    <v>2</v>
  </rv>
  <rv s="0">
    <fb>46265</fb>
    <v>2</v>
  </rv>
  <rv s="1">
    <v>0</v>
  </rv>
  <rv s="2">
    <v>DataFrame</v>
    <v>1</v>
    <v>9</v>
  </rv>
  <rv s="3">
    <v>&lt;class 'pandas.core.frame.DataFrame'&gt;</v>
    <v>DataFrame</v>
    <v xml:space="preserve">         Date    Open    High     Low   Close  Volume
0  2026-07-01  100.00  101.11   99.05  100.06  367524
1  2026-07-02  100.06  101.92   97.78  100.07  148814
2  2026-07-03  100.07  101.00   98.47   99.98  130917
3  2026-07-06   99.98  101.46   98.1...</v>
    <v>10</v>
    <v>3</v>
  </rv>
  <rv s="4">
    <v>0</v>
    <v>9</v>
  </rv>
  <rv s="1">
    <v>1</v>
  </rv>
  <rv s="5">
    <v>Image</v>
    <v>4</v>
    <v>12</v>
    <v>13</v>
  </rv>
  <rv s="3">
    <v>&lt;class 'PIL.PngImagePlugin.PngImageFile'&gt;</v>
    <v>PngImageFile</v>
    <v>&lt;PIL.PngImagePlugin.PngImageFile image mode=RGBA size=1389x990 at 0x7F3A1353E4B0&gt;</v>
    <v>14</v>
    <v>3</v>
  </rv>
</rvData>
</file>

<file path=xl/richData/rdrichvaluestructure.xml><?xml version="1.0" encoding="utf-8"?>
<rvStructures xmlns="http://schemas.microsoft.com/office/spreadsheetml/2017/richdata" count="6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Data count="5">
    <spb s="0">
      <v>60</v>
      <v>6</v>
      <v>DataFrame</v>
      <v>arrayPreview</v>
      <v>1</v>
    </spb>
    <spb s="1">
      <v>0</v>
    </spb>
    <spb s="2">
      <v>1</v>
    </spb>
    <spb s="3">
      <v>https://www.anaconda.com/excel</v>
      <v>https://res.cdn.office.net/officepysvc/prod-preview/anacondalogo.png</v>
      <v>Python provided by Anaconda</v>
    </spb>
    <spb s="4">
      <v>2</v>
    </spb>
  </spbData>
</supportingPropertyBags>
</file>

<file path=xl/richData/rdsupportingpropertybagstructure.xml><?xml version="1.0" encoding="utf-8"?>
<spbStructures xmlns="http://schemas.microsoft.com/office/spreadsheetml/2017/richdata2" count="5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dd/mm/yyyy"/>
    </x:dxf>
  </dxfs>
  <richProperties>
    <rPr n="IsHeroField" t="b"/>
  </richProperties>
  <richStyles>
    <rSty dxfid="0"/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opLeftCell="E1" workbookViewId="0">
      <pane ySplit="1" topLeftCell="A2" activePane="bottomLeft" state="frozen"/>
      <selection pane="bottomLeft" activeCell="E1" sqref="E1:E1048576"/>
    </sheetView>
  </sheetViews>
  <sheetFormatPr defaultRowHeight="14.5" x14ac:dyDescent="0.35"/>
  <cols>
    <col min="1" max="1" width="15" customWidth="1"/>
    <col min="2" max="5" width="12" customWidth="1"/>
    <col min="6" max="6" width="1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35">
      <c r="A2" s="2">
        <v>46204</v>
      </c>
      <c r="B2">
        <v>100</v>
      </c>
      <c r="C2">
        <v>101.11</v>
      </c>
      <c r="D2">
        <v>99.05</v>
      </c>
      <c r="E2">
        <v>100.06</v>
      </c>
      <c r="F2">
        <v>367524</v>
      </c>
      <c r="I2" t="s">
        <v>6</v>
      </c>
    </row>
    <row r="3" spans="1:9" x14ac:dyDescent="0.35">
      <c r="A3" s="2">
        <v>46205</v>
      </c>
      <c r="B3">
        <v>100.06</v>
      </c>
      <c r="C3">
        <v>101.92</v>
      </c>
      <c r="D3">
        <v>97.78</v>
      </c>
      <c r="E3">
        <v>100.07</v>
      </c>
      <c r="F3">
        <v>148814</v>
      </c>
    </row>
    <row r="4" spans="1:9" x14ac:dyDescent="0.35">
      <c r="A4" s="2">
        <v>46206</v>
      </c>
      <c r="B4">
        <v>100.07</v>
      </c>
      <c r="C4">
        <v>101</v>
      </c>
      <c r="D4">
        <v>98.47</v>
      </c>
      <c r="E4">
        <v>99.98</v>
      </c>
      <c r="F4">
        <v>130917</v>
      </c>
    </row>
    <row r="5" spans="1:9" x14ac:dyDescent="0.35">
      <c r="A5" s="2">
        <v>46209</v>
      </c>
      <c r="B5">
        <v>99.98</v>
      </c>
      <c r="C5">
        <v>101.46</v>
      </c>
      <c r="D5">
        <v>98.18</v>
      </c>
      <c r="E5">
        <v>100.56</v>
      </c>
      <c r="F5">
        <v>334717</v>
      </c>
    </row>
    <row r="6" spans="1:9" x14ac:dyDescent="0.35">
      <c r="A6" s="2">
        <v>46209</v>
      </c>
      <c r="B6">
        <v>100.56</v>
      </c>
      <c r="C6">
        <v>103.53</v>
      </c>
      <c r="D6">
        <v>100.05</v>
      </c>
      <c r="E6">
        <v>101.41</v>
      </c>
      <c r="F6">
        <v>450962</v>
      </c>
    </row>
    <row r="7" spans="1:9" x14ac:dyDescent="0.35">
      <c r="A7" s="2">
        <v>46209</v>
      </c>
      <c r="B7">
        <v>101.41</v>
      </c>
      <c r="C7">
        <v>106.27</v>
      </c>
      <c r="D7">
        <v>100.23</v>
      </c>
      <c r="E7">
        <v>104.38</v>
      </c>
      <c r="F7">
        <v>273139</v>
      </c>
    </row>
    <row r="8" spans="1:9" x14ac:dyDescent="0.35">
      <c r="A8" s="2">
        <v>46210</v>
      </c>
      <c r="B8">
        <v>104.38</v>
      </c>
      <c r="C8">
        <v>107.16</v>
      </c>
      <c r="D8">
        <v>103.69</v>
      </c>
      <c r="E8">
        <v>106.48</v>
      </c>
      <c r="F8">
        <v>567280</v>
      </c>
    </row>
    <row r="9" spans="1:9" x14ac:dyDescent="0.35">
      <c r="A9" s="2">
        <v>46211</v>
      </c>
      <c r="B9">
        <v>106.48</v>
      </c>
      <c r="C9">
        <v>108.18</v>
      </c>
      <c r="D9">
        <v>104.23</v>
      </c>
      <c r="E9">
        <v>106.34</v>
      </c>
      <c r="F9">
        <v>370283</v>
      </c>
    </row>
    <row r="10" spans="1:9" x14ac:dyDescent="0.35">
      <c r="A10" s="2">
        <v>46212</v>
      </c>
      <c r="B10">
        <v>106.34</v>
      </c>
      <c r="C10">
        <v>107.6</v>
      </c>
      <c r="D10">
        <v>99.85</v>
      </c>
      <c r="E10">
        <v>101.45</v>
      </c>
      <c r="F10">
        <v>778737</v>
      </c>
    </row>
    <row r="11" spans="1:9" x14ac:dyDescent="0.35">
      <c r="A11" s="2">
        <v>46213</v>
      </c>
      <c r="B11">
        <v>101.45</v>
      </c>
      <c r="C11">
        <v>103.19</v>
      </c>
      <c r="D11">
        <v>98.37</v>
      </c>
      <c r="E11">
        <v>100.59</v>
      </c>
      <c r="F11">
        <v>364171</v>
      </c>
    </row>
    <row r="12" spans="1:9" x14ac:dyDescent="0.35">
      <c r="A12" s="2">
        <v>46216</v>
      </c>
      <c r="B12">
        <v>100.59</v>
      </c>
      <c r="C12">
        <v>101.72</v>
      </c>
      <c r="D12">
        <v>99.51</v>
      </c>
      <c r="E12">
        <v>100.77</v>
      </c>
      <c r="F12">
        <v>151526</v>
      </c>
    </row>
    <row r="13" spans="1:9" x14ac:dyDescent="0.35">
      <c r="A13" s="2">
        <v>46216</v>
      </c>
      <c r="B13">
        <v>100.77</v>
      </c>
      <c r="C13">
        <v>101.73</v>
      </c>
      <c r="D13">
        <v>99.83</v>
      </c>
      <c r="E13">
        <v>100.53</v>
      </c>
      <c r="F13">
        <v>221801</v>
      </c>
    </row>
    <row r="14" spans="1:9" x14ac:dyDescent="0.35">
      <c r="A14" s="2">
        <v>46216</v>
      </c>
      <c r="B14">
        <v>100.53</v>
      </c>
      <c r="C14">
        <v>101.77</v>
      </c>
      <c r="D14">
        <v>98.71</v>
      </c>
      <c r="E14">
        <v>99.63</v>
      </c>
      <c r="F14">
        <v>245726</v>
      </c>
    </row>
    <row r="15" spans="1:9" x14ac:dyDescent="0.35">
      <c r="A15" s="2">
        <v>46217</v>
      </c>
      <c r="B15">
        <v>99.63</v>
      </c>
      <c r="C15">
        <v>102</v>
      </c>
      <c r="D15">
        <v>96.75</v>
      </c>
      <c r="E15">
        <v>98.54</v>
      </c>
      <c r="F15">
        <v>390656</v>
      </c>
    </row>
    <row r="16" spans="1:9" x14ac:dyDescent="0.35">
      <c r="A16" s="2">
        <v>46218</v>
      </c>
      <c r="B16">
        <v>98.54</v>
      </c>
      <c r="C16">
        <v>101.26</v>
      </c>
      <c r="D16">
        <v>97.28</v>
      </c>
      <c r="E16">
        <v>100.43</v>
      </c>
      <c r="F16">
        <v>615063</v>
      </c>
    </row>
    <row r="17" spans="1:6" x14ac:dyDescent="0.35">
      <c r="A17" s="2">
        <v>46219</v>
      </c>
      <c r="B17">
        <v>100.43</v>
      </c>
      <c r="C17">
        <v>105.4</v>
      </c>
      <c r="D17">
        <v>98.81</v>
      </c>
      <c r="E17">
        <v>103.62</v>
      </c>
      <c r="F17">
        <v>566877</v>
      </c>
    </row>
    <row r="18" spans="1:6" x14ac:dyDescent="0.35">
      <c r="A18" s="2">
        <v>46220</v>
      </c>
      <c r="B18">
        <v>103.62</v>
      </c>
      <c r="C18">
        <v>106.84</v>
      </c>
      <c r="D18">
        <v>103.06</v>
      </c>
      <c r="E18">
        <v>105.88</v>
      </c>
      <c r="F18">
        <v>325203</v>
      </c>
    </row>
    <row r="19" spans="1:6" x14ac:dyDescent="0.35">
      <c r="A19" s="2">
        <v>46223</v>
      </c>
      <c r="B19">
        <v>105.88</v>
      </c>
      <c r="C19">
        <v>106.91</v>
      </c>
      <c r="D19">
        <v>102.42</v>
      </c>
      <c r="E19">
        <v>103.34</v>
      </c>
      <c r="F19">
        <v>649961</v>
      </c>
    </row>
    <row r="20" spans="1:6" x14ac:dyDescent="0.35">
      <c r="A20" s="2">
        <v>46223</v>
      </c>
      <c r="B20">
        <v>103.34</v>
      </c>
      <c r="C20">
        <v>106.74</v>
      </c>
      <c r="D20">
        <v>102.05</v>
      </c>
      <c r="E20">
        <v>104.93</v>
      </c>
      <c r="F20">
        <v>555927</v>
      </c>
    </row>
    <row r="21" spans="1:6" x14ac:dyDescent="0.35">
      <c r="A21" s="2">
        <v>46223</v>
      </c>
      <c r="B21">
        <v>104.93</v>
      </c>
      <c r="C21">
        <v>106.35</v>
      </c>
      <c r="D21">
        <v>103.03</v>
      </c>
      <c r="E21">
        <v>104.06</v>
      </c>
      <c r="F21">
        <v>236380</v>
      </c>
    </row>
    <row r="22" spans="1:6" x14ac:dyDescent="0.35">
      <c r="A22" s="2">
        <v>46224</v>
      </c>
      <c r="B22">
        <v>104.06</v>
      </c>
      <c r="C22">
        <v>105.73</v>
      </c>
      <c r="D22">
        <v>100.67</v>
      </c>
      <c r="E22">
        <v>102.96</v>
      </c>
      <c r="F22">
        <v>307043</v>
      </c>
    </row>
    <row r="23" spans="1:6" x14ac:dyDescent="0.35">
      <c r="A23" s="2">
        <v>46225</v>
      </c>
      <c r="B23">
        <v>102.96</v>
      </c>
      <c r="C23">
        <v>103.9</v>
      </c>
      <c r="D23">
        <v>100.23</v>
      </c>
      <c r="E23">
        <v>102.73</v>
      </c>
      <c r="F23">
        <v>301819</v>
      </c>
    </row>
    <row r="24" spans="1:6" x14ac:dyDescent="0.35">
      <c r="A24" s="2">
        <v>46226</v>
      </c>
      <c r="B24">
        <v>102.73</v>
      </c>
      <c r="C24">
        <v>104.32</v>
      </c>
      <c r="D24">
        <v>100.97</v>
      </c>
      <c r="E24">
        <v>103.6</v>
      </c>
      <c r="F24">
        <v>447955</v>
      </c>
    </row>
    <row r="25" spans="1:6" x14ac:dyDescent="0.35">
      <c r="A25" s="2">
        <v>46227</v>
      </c>
      <c r="B25">
        <v>103.6</v>
      </c>
      <c r="C25">
        <v>105.63</v>
      </c>
      <c r="D25">
        <v>102.97</v>
      </c>
      <c r="E25">
        <v>104.29</v>
      </c>
      <c r="F25">
        <v>279673</v>
      </c>
    </row>
    <row r="26" spans="1:6" x14ac:dyDescent="0.35">
      <c r="A26" s="2">
        <v>46230</v>
      </c>
      <c r="B26">
        <v>104.29</v>
      </c>
      <c r="C26">
        <v>109.53</v>
      </c>
      <c r="D26">
        <v>102.06</v>
      </c>
      <c r="E26">
        <v>107.09</v>
      </c>
      <c r="F26">
        <v>193206</v>
      </c>
    </row>
    <row r="27" spans="1:6" x14ac:dyDescent="0.35">
      <c r="A27" s="2">
        <v>46230</v>
      </c>
      <c r="B27">
        <v>107.09</v>
      </c>
      <c r="C27">
        <v>109.32</v>
      </c>
      <c r="D27">
        <v>105.23</v>
      </c>
      <c r="E27">
        <v>107.38</v>
      </c>
      <c r="F27">
        <v>314448</v>
      </c>
    </row>
    <row r="28" spans="1:6" x14ac:dyDescent="0.35">
      <c r="A28" s="2">
        <v>46230</v>
      </c>
      <c r="B28">
        <v>107.38</v>
      </c>
      <c r="C28">
        <v>108.15</v>
      </c>
      <c r="D28">
        <v>106.01</v>
      </c>
      <c r="E28">
        <v>107.43</v>
      </c>
      <c r="F28">
        <v>272314</v>
      </c>
    </row>
    <row r="29" spans="1:6" x14ac:dyDescent="0.35">
      <c r="A29" s="2">
        <v>46231</v>
      </c>
      <c r="B29">
        <v>107.43</v>
      </c>
      <c r="C29">
        <v>113.03</v>
      </c>
      <c r="D29">
        <v>105.18</v>
      </c>
      <c r="E29">
        <v>110.62</v>
      </c>
      <c r="F29">
        <v>339207</v>
      </c>
    </row>
    <row r="30" spans="1:6" x14ac:dyDescent="0.35">
      <c r="A30" s="2">
        <v>46232</v>
      </c>
      <c r="B30">
        <v>110.62</v>
      </c>
      <c r="C30">
        <v>112.95</v>
      </c>
      <c r="D30">
        <v>107.48</v>
      </c>
      <c r="E30">
        <v>109.72</v>
      </c>
      <c r="F30">
        <v>258022</v>
      </c>
    </row>
    <row r="31" spans="1:6" x14ac:dyDescent="0.35">
      <c r="A31" s="2">
        <v>46233</v>
      </c>
      <c r="B31">
        <v>109.72</v>
      </c>
      <c r="C31">
        <v>111.84</v>
      </c>
      <c r="D31">
        <v>108</v>
      </c>
      <c r="E31">
        <v>110.07</v>
      </c>
      <c r="F31">
        <v>182210</v>
      </c>
    </row>
    <row r="32" spans="1:6" x14ac:dyDescent="0.35">
      <c r="A32" s="2">
        <v>46234</v>
      </c>
      <c r="B32">
        <v>110.07</v>
      </c>
      <c r="C32">
        <v>112.67</v>
      </c>
      <c r="D32">
        <v>108.5</v>
      </c>
      <c r="E32">
        <v>110.61</v>
      </c>
      <c r="F32">
        <v>133302</v>
      </c>
    </row>
    <row r="33" spans="1:6" x14ac:dyDescent="0.35">
      <c r="A33" s="2">
        <v>46237</v>
      </c>
      <c r="B33">
        <v>110.61</v>
      </c>
      <c r="C33">
        <v>111.76</v>
      </c>
      <c r="D33">
        <v>107.94</v>
      </c>
      <c r="E33">
        <v>108.48</v>
      </c>
      <c r="F33">
        <v>608555</v>
      </c>
    </row>
    <row r="34" spans="1:6" x14ac:dyDescent="0.35">
      <c r="A34" s="2">
        <v>46237</v>
      </c>
      <c r="B34">
        <v>108.48</v>
      </c>
      <c r="C34">
        <v>112.67</v>
      </c>
      <c r="D34">
        <v>107.86</v>
      </c>
      <c r="E34">
        <v>111.56</v>
      </c>
      <c r="F34">
        <v>662257</v>
      </c>
    </row>
    <row r="35" spans="1:6" x14ac:dyDescent="0.35">
      <c r="A35" s="2">
        <v>46237</v>
      </c>
      <c r="B35">
        <v>111.56</v>
      </c>
      <c r="C35">
        <v>113.95</v>
      </c>
      <c r="D35">
        <v>108.63</v>
      </c>
      <c r="E35">
        <v>109.3</v>
      </c>
      <c r="F35">
        <v>406912</v>
      </c>
    </row>
    <row r="36" spans="1:6" x14ac:dyDescent="0.35">
      <c r="A36" s="2">
        <v>46238</v>
      </c>
      <c r="B36">
        <v>109.3</v>
      </c>
      <c r="C36">
        <v>114.75</v>
      </c>
      <c r="D36">
        <v>108.55</v>
      </c>
      <c r="E36">
        <v>112.72</v>
      </c>
      <c r="F36">
        <v>466042</v>
      </c>
    </row>
    <row r="37" spans="1:6" x14ac:dyDescent="0.35">
      <c r="A37" s="2">
        <v>46239</v>
      </c>
      <c r="B37">
        <v>112.72</v>
      </c>
      <c r="C37">
        <v>116.09</v>
      </c>
      <c r="D37">
        <v>111.69</v>
      </c>
      <c r="E37">
        <v>114.5</v>
      </c>
      <c r="F37">
        <v>552689</v>
      </c>
    </row>
    <row r="38" spans="1:6" x14ac:dyDescent="0.35">
      <c r="A38" s="2">
        <v>46240</v>
      </c>
      <c r="B38">
        <v>114.5</v>
      </c>
      <c r="C38">
        <v>116.07</v>
      </c>
      <c r="D38">
        <v>111.66</v>
      </c>
      <c r="E38">
        <v>113.62</v>
      </c>
      <c r="F38">
        <v>218886</v>
      </c>
    </row>
    <row r="39" spans="1:6" x14ac:dyDescent="0.35">
      <c r="A39" s="2">
        <v>46241</v>
      </c>
      <c r="B39">
        <v>113.62</v>
      </c>
      <c r="C39">
        <v>115.74</v>
      </c>
      <c r="D39">
        <v>111.13</v>
      </c>
      <c r="E39">
        <v>114.61</v>
      </c>
      <c r="F39">
        <v>400735</v>
      </c>
    </row>
    <row r="40" spans="1:6" x14ac:dyDescent="0.35">
      <c r="A40" s="2">
        <v>46244</v>
      </c>
      <c r="B40">
        <v>114.61</v>
      </c>
      <c r="C40">
        <v>115.36</v>
      </c>
      <c r="D40">
        <v>111.78</v>
      </c>
      <c r="E40">
        <v>112.73</v>
      </c>
      <c r="F40">
        <v>318845</v>
      </c>
    </row>
    <row r="41" spans="1:6" x14ac:dyDescent="0.35">
      <c r="A41" s="2">
        <v>46244</v>
      </c>
      <c r="B41">
        <v>112.73</v>
      </c>
      <c r="C41">
        <v>115.67</v>
      </c>
      <c r="D41">
        <v>111.77</v>
      </c>
      <c r="E41">
        <v>114</v>
      </c>
      <c r="F41">
        <v>241444</v>
      </c>
    </row>
    <row r="42" spans="1:6" x14ac:dyDescent="0.35">
      <c r="A42" s="2">
        <v>46244</v>
      </c>
      <c r="B42">
        <v>114</v>
      </c>
      <c r="C42">
        <v>117.85</v>
      </c>
      <c r="D42">
        <v>111.68</v>
      </c>
      <c r="E42">
        <v>116.89</v>
      </c>
      <c r="F42">
        <v>637664</v>
      </c>
    </row>
    <row r="43" spans="1:6" x14ac:dyDescent="0.35">
      <c r="A43" s="2">
        <v>46245</v>
      </c>
      <c r="B43">
        <v>116.89</v>
      </c>
      <c r="C43">
        <v>119.1</v>
      </c>
      <c r="D43">
        <v>115.92</v>
      </c>
      <c r="E43">
        <v>118.46</v>
      </c>
      <c r="F43">
        <v>447662</v>
      </c>
    </row>
    <row r="44" spans="1:6" x14ac:dyDescent="0.35">
      <c r="A44" s="2">
        <v>46246</v>
      </c>
      <c r="B44">
        <v>118.46</v>
      </c>
      <c r="C44">
        <v>121.42</v>
      </c>
      <c r="D44">
        <v>116.82</v>
      </c>
      <c r="E44">
        <v>119.05</v>
      </c>
      <c r="F44">
        <v>308405</v>
      </c>
    </row>
    <row r="45" spans="1:6" x14ac:dyDescent="0.35">
      <c r="A45" s="2">
        <v>46247</v>
      </c>
      <c r="B45">
        <v>119.05</v>
      </c>
      <c r="C45">
        <v>122.51</v>
      </c>
      <c r="D45">
        <v>116.93</v>
      </c>
      <c r="E45">
        <v>120.44</v>
      </c>
      <c r="F45">
        <v>233617</v>
      </c>
    </row>
    <row r="46" spans="1:6" x14ac:dyDescent="0.35">
      <c r="A46" s="2">
        <v>46248</v>
      </c>
      <c r="B46">
        <v>120.44</v>
      </c>
      <c r="C46">
        <v>123.88</v>
      </c>
      <c r="D46">
        <v>119</v>
      </c>
      <c r="E46">
        <v>122.53</v>
      </c>
      <c r="F46">
        <v>511480</v>
      </c>
    </row>
    <row r="47" spans="1:6" x14ac:dyDescent="0.35">
      <c r="A47" s="2">
        <v>46251</v>
      </c>
      <c r="B47">
        <v>122.53</v>
      </c>
      <c r="C47">
        <v>125.94</v>
      </c>
      <c r="D47">
        <v>120.06</v>
      </c>
      <c r="E47">
        <v>124.1</v>
      </c>
      <c r="F47">
        <v>200207</v>
      </c>
    </row>
    <row r="48" spans="1:6" x14ac:dyDescent="0.35">
      <c r="A48" s="2">
        <v>46251</v>
      </c>
      <c r="B48">
        <v>124.1</v>
      </c>
      <c r="C48">
        <v>126.32</v>
      </c>
      <c r="D48">
        <v>121.96</v>
      </c>
      <c r="E48">
        <v>122.95</v>
      </c>
      <c r="F48">
        <v>224460</v>
      </c>
    </row>
    <row r="49" spans="1:6" x14ac:dyDescent="0.35">
      <c r="A49" s="2">
        <v>46251</v>
      </c>
      <c r="B49">
        <v>122.95</v>
      </c>
      <c r="C49">
        <v>125.75</v>
      </c>
      <c r="D49">
        <v>121.61</v>
      </c>
      <c r="E49">
        <v>124.35</v>
      </c>
      <c r="F49">
        <v>271083</v>
      </c>
    </row>
    <row r="50" spans="1:6" x14ac:dyDescent="0.35">
      <c r="A50" s="2">
        <v>46252</v>
      </c>
      <c r="B50">
        <v>124.35</v>
      </c>
      <c r="C50">
        <v>126.09</v>
      </c>
      <c r="D50">
        <v>122.13</v>
      </c>
      <c r="E50">
        <v>124.71</v>
      </c>
      <c r="F50">
        <v>323052</v>
      </c>
    </row>
    <row r="51" spans="1:6" x14ac:dyDescent="0.35">
      <c r="A51" s="2">
        <v>46253</v>
      </c>
      <c r="B51">
        <v>124.71</v>
      </c>
      <c r="C51">
        <v>130.19</v>
      </c>
      <c r="D51">
        <v>122.21</v>
      </c>
      <c r="E51">
        <v>129.59</v>
      </c>
      <c r="F51">
        <v>782436</v>
      </c>
    </row>
    <row r="52" spans="1:6" x14ac:dyDescent="0.35">
      <c r="A52" s="2">
        <v>46254</v>
      </c>
      <c r="B52">
        <v>129.59</v>
      </c>
      <c r="C52">
        <v>136.62</v>
      </c>
      <c r="D52">
        <v>128.76</v>
      </c>
      <c r="E52">
        <v>134.41999999999999</v>
      </c>
      <c r="F52">
        <v>551100</v>
      </c>
    </row>
    <row r="53" spans="1:6" x14ac:dyDescent="0.35">
      <c r="A53" s="2">
        <v>46255</v>
      </c>
      <c r="B53">
        <v>134.41999999999999</v>
      </c>
      <c r="C53">
        <v>135.35</v>
      </c>
      <c r="D53">
        <v>132.58000000000001</v>
      </c>
      <c r="E53">
        <v>133.88999999999999</v>
      </c>
      <c r="F53">
        <v>154240</v>
      </c>
    </row>
    <row r="54" spans="1:6" x14ac:dyDescent="0.35">
      <c r="A54" s="2">
        <v>46258</v>
      </c>
      <c r="B54">
        <v>133.88999999999999</v>
      </c>
      <c r="C54">
        <v>134.91999999999999</v>
      </c>
      <c r="D54">
        <v>127.96</v>
      </c>
      <c r="E54">
        <v>130.03</v>
      </c>
      <c r="F54">
        <v>478713</v>
      </c>
    </row>
    <row r="55" spans="1:6" x14ac:dyDescent="0.35">
      <c r="A55" s="2">
        <v>46258</v>
      </c>
      <c r="B55">
        <v>130.03</v>
      </c>
      <c r="C55">
        <v>135.72999999999999</v>
      </c>
      <c r="D55">
        <v>127.61</v>
      </c>
      <c r="E55">
        <v>134.38</v>
      </c>
      <c r="F55">
        <v>839118</v>
      </c>
    </row>
    <row r="56" spans="1:6" x14ac:dyDescent="0.35">
      <c r="A56" s="2">
        <v>46258</v>
      </c>
      <c r="B56">
        <v>134.38</v>
      </c>
      <c r="C56">
        <v>135.19</v>
      </c>
      <c r="D56">
        <v>130.65</v>
      </c>
      <c r="E56">
        <v>131.74</v>
      </c>
      <c r="F56">
        <v>671874</v>
      </c>
    </row>
    <row r="57" spans="1:6" x14ac:dyDescent="0.35">
      <c r="A57" s="2">
        <v>46259</v>
      </c>
      <c r="B57">
        <v>131.74</v>
      </c>
      <c r="C57">
        <v>133.4</v>
      </c>
      <c r="D57">
        <v>129.41</v>
      </c>
      <c r="E57">
        <v>131</v>
      </c>
      <c r="F57">
        <v>421344</v>
      </c>
    </row>
    <row r="58" spans="1:6" x14ac:dyDescent="0.35">
      <c r="A58" s="2">
        <v>46260</v>
      </c>
      <c r="B58">
        <v>131</v>
      </c>
      <c r="C58">
        <v>135.33000000000001</v>
      </c>
      <c r="D58">
        <v>128.79</v>
      </c>
      <c r="E58">
        <v>133.83000000000001</v>
      </c>
      <c r="F58">
        <v>269293</v>
      </c>
    </row>
    <row r="59" spans="1:6" x14ac:dyDescent="0.35">
      <c r="A59" s="2">
        <v>46261</v>
      </c>
      <c r="B59">
        <v>133.83000000000001</v>
      </c>
      <c r="C59">
        <v>137.53</v>
      </c>
      <c r="D59">
        <v>133.16999999999999</v>
      </c>
      <c r="E59">
        <v>135.11000000000001</v>
      </c>
      <c r="F59">
        <v>227788</v>
      </c>
    </row>
    <row r="60" spans="1:6" x14ac:dyDescent="0.35">
      <c r="A60" s="2">
        <v>46262</v>
      </c>
      <c r="B60">
        <v>135.11000000000001</v>
      </c>
      <c r="C60">
        <v>136.08000000000001</v>
      </c>
      <c r="D60">
        <v>132.24</v>
      </c>
      <c r="E60">
        <v>132.97999999999999</v>
      </c>
      <c r="F60">
        <v>590105</v>
      </c>
    </row>
    <row r="61" spans="1:6" x14ac:dyDescent="0.35">
      <c r="A61" s="2">
        <v>46265</v>
      </c>
      <c r="B61">
        <v>132.97999999999999</v>
      </c>
      <c r="C61">
        <v>133.97</v>
      </c>
      <c r="D61">
        <v>129.94999999999999</v>
      </c>
      <c r="E61">
        <v>131.63999999999999</v>
      </c>
      <c r="F61">
        <v>411105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14E7-BB04-4D2A-A8C3-FD2AE96DFA0F}">
  <dimension ref="A1:I61"/>
  <sheetViews>
    <sheetView tabSelected="1" zoomScale="55" zoomScaleNormal="55" workbookViewId="0">
      <selection activeCell="K5" sqref="K5"/>
    </sheetView>
  </sheetViews>
  <sheetFormatPr defaultRowHeight="14.5" x14ac:dyDescent="0.35"/>
  <cols>
    <col min="1" max="1" width="10.08984375" style="3" bestFit="1" customWidth="1"/>
    <col min="2" max="5" width="6.81640625" bestFit="1" customWidth="1"/>
    <col min="6" max="6" width="7.1796875" bestFit="1" customWidth="1"/>
  </cols>
  <sheetData>
    <row r="1" spans="1:9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9" x14ac:dyDescent="0.35">
      <c r="A2" s="3">
        <v>46204</v>
      </c>
      <c r="B2">
        <v>100</v>
      </c>
      <c r="C2">
        <v>101.11</v>
      </c>
      <c r="D2">
        <v>99.05</v>
      </c>
      <c r="E2">
        <v>100.06</v>
      </c>
      <c r="F2">
        <v>367524</v>
      </c>
    </row>
    <row r="3" spans="1:9" x14ac:dyDescent="0.35">
      <c r="A3" s="3">
        <v>46205</v>
      </c>
      <c r="B3">
        <v>100.06</v>
      </c>
      <c r="C3">
        <v>101.92</v>
      </c>
      <c r="D3">
        <v>97.78</v>
      </c>
      <c r="E3">
        <v>100.07</v>
      </c>
      <c r="F3">
        <v>148814</v>
      </c>
    </row>
    <row r="4" spans="1:9" x14ac:dyDescent="0.35">
      <c r="A4" s="3">
        <v>46206</v>
      </c>
      <c r="B4">
        <v>100.07</v>
      </c>
      <c r="C4">
        <v>101</v>
      </c>
      <c r="D4">
        <v>98.47</v>
      </c>
      <c r="E4">
        <v>99.98</v>
      </c>
      <c r="F4">
        <v>130917</v>
      </c>
    </row>
    <row r="5" spans="1:9" x14ac:dyDescent="0.35">
      <c r="A5" s="3">
        <v>46209</v>
      </c>
      <c r="B5">
        <v>99.98</v>
      </c>
      <c r="C5">
        <v>101.46</v>
      </c>
      <c r="D5">
        <v>98.18</v>
      </c>
      <c r="E5">
        <v>100.56</v>
      </c>
      <c r="F5">
        <v>334717</v>
      </c>
    </row>
    <row r="6" spans="1:9" x14ac:dyDescent="0.35">
      <c r="A6" s="3">
        <v>46209</v>
      </c>
      <c r="B6">
        <v>100.56</v>
      </c>
      <c r="C6">
        <v>103.53</v>
      </c>
      <c r="D6">
        <v>100.05</v>
      </c>
      <c r="E6">
        <v>101.41</v>
      </c>
      <c r="F6">
        <v>450962</v>
      </c>
    </row>
    <row r="7" spans="1:9" x14ac:dyDescent="0.35">
      <c r="A7" s="3">
        <v>46209</v>
      </c>
      <c r="B7">
        <v>101.41</v>
      </c>
      <c r="C7">
        <v>106.27</v>
      </c>
      <c r="D7">
        <v>100.23</v>
      </c>
      <c r="E7">
        <v>104.38</v>
      </c>
      <c r="F7">
        <v>273139</v>
      </c>
      <c r="I7" t="e" cm="1" vm="1">
        <f t="array" ref="I7">_xlfn._xlws.PY(0,1,A1:F61)</f>
        <v>#VALUE!</v>
      </c>
    </row>
    <row r="8" spans="1:9" x14ac:dyDescent="0.35">
      <c r="A8" s="3">
        <v>46210</v>
      </c>
      <c r="B8">
        <v>104.38</v>
      </c>
      <c r="C8">
        <v>107.16</v>
      </c>
      <c r="D8">
        <v>103.69</v>
      </c>
      <c r="E8">
        <v>106.48</v>
      </c>
      <c r="F8">
        <v>567280</v>
      </c>
    </row>
    <row r="9" spans="1:9" x14ac:dyDescent="0.35">
      <c r="A9" s="3">
        <v>46211</v>
      </c>
      <c r="B9">
        <v>106.48</v>
      </c>
      <c r="C9">
        <v>108.18</v>
      </c>
      <c r="D9">
        <v>104.23</v>
      </c>
      <c r="E9">
        <v>106.34</v>
      </c>
      <c r="F9">
        <v>370283</v>
      </c>
      <c r="I9" t="e" cm="1" vm="2">
        <f t="array" ref="I9">_xlfn._xlws.PY(1,1,A1:F61)</f>
        <v>#VALUE!</v>
      </c>
    </row>
    <row r="10" spans="1:9" x14ac:dyDescent="0.35">
      <c r="A10" s="3">
        <v>46212</v>
      </c>
      <c r="B10">
        <v>106.34</v>
      </c>
      <c r="C10">
        <v>107.6</v>
      </c>
      <c r="D10">
        <v>99.85</v>
      </c>
      <c r="E10">
        <v>101.45</v>
      </c>
      <c r="F10">
        <v>778737</v>
      </c>
    </row>
    <row r="11" spans="1:9" x14ac:dyDescent="0.35">
      <c r="A11" s="3">
        <v>46213</v>
      </c>
      <c r="B11">
        <v>101.45</v>
      </c>
      <c r="C11">
        <v>103.19</v>
      </c>
      <c r="D11">
        <v>98.37</v>
      </c>
      <c r="E11">
        <v>100.59</v>
      </c>
      <c r="F11">
        <v>364171</v>
      </c>
    </row>
    <row r="12" spans="1:9" x14ac:dyDescent="0.35">
      <c r="A12" s="3">
        <v>46216</v>
      </c>
      <c r="B12">
        <v>100.59</v>
      </c>
      <c r="C12">
        <v>101.72</v>
      </c>
      <c r="D12">
        <v>99.51</v>
      </c>
      <c r="E12">
        <v>100.77</v>
      </c>
      <c r="F12">
        <v>151526</v>
      </c>
    </row>
    <row r="13" spans="1:9" x14ac:dyDescent="0.35">
      <c r="A13" s="3">
        <v>46216</v>
      </c>
      <c r="B13">
        <v>100.77</v>
      </c>
      <c r="C13">
        <v>101.73</v>
      </c>
      <c r="D13">
        <v>99.83</v>
      </c>
      <c r="E13">
        <v>100.53</v>
      </c>
      <c r="F13">
        <v>221801</v>
      </c>
    </row>
    <row r="14" spans="1:9" x14ac:dyDescent="0.35">
      <c r="A14" s="3">
        <v>46216</v>
      </c>
      <c r="B14">
        <v>100.53</v>
      </c>
      <c r="C14">
        <v>101.77</v>
      </c>
      <c r="D14">
        <v>98.71</v>
      </c>
      <c r="E14">
        <v>99.63</v>
      </c>
      <c r="F14">
        <v>245726</v>
      </c>
    </row>
    <row r="15" spans="1:9" x14ac:dyDescent="0.35">
      <c r="A15" s="3">
        <v>46217</v>
      </c>
      <c r="B15">
        <v>99.63</v>
      </c>
      <c r="C15">
        <v>102</v>
      </c>
      <c r="D15">
        <v>96.75</v>
      </c>
      <c r="E15">
        <v>98.54</v>
      </c>
      <c r="F15">
        <v>390656</v>
      </c>
    </row>
    <row r="16" spans="1:9" x14ac:dyDescent="0.35">
      <c r="A16" s="3">
        <v>46218</v>
      </c>
      <c r="B16">
        <v>98.54</v>
      </c>
      <c r="C16">
        <v>101.26</v>
      </c>
      <c r="D16">
        <v>97.28</v>
      </c>
      <c r="E16">
        <v>100.43</v>
      </c>
      <c r="F16">
        <v>615063</v>
      </c>
    </row>
    <row r="17" spans="1:6" x14ac:dyDescent="0.35">
      <c r="A17" s="3">
        <v>46219</v>
      </c>
      <c r="B17">
        <v>100.43</v>
      </c>
      <c r="C17">
        <v>105.4</v>
      </c>
      <c r="D17">
        <v>98.81</v>
      </c>
      <c r="E17">
        <v>103.62</v>
      </c>
      <c r="F17">
        <v>566877</v>
      </c>
    </row>
    <row r="18" spans="1:6" x14ac:dyDescent="0.35">
      <c r="A18" s="3">
        <v>46220</v>
      </c>
      <c r="B18">
        <v>103.62</v>
      </c>
      <c r="C18">
        <v>106.84</v>
      </c>
      <c r="D18">
        <v>103.06</v>
      </c>
      <c r="E18">
        <v>105.88</v>
      </c>
      <c r="F18">
        <v>325203</v>
      </c>
    </row>
    <row r="19" spans="1:6" x14ac:dyDescent="0.35">
      <c r="A19" s="3">
        <v>46223</v>
      </c>
      <c r="B19">
        <v>105.88</v>
      </c>
      <c r="C19">
        <v>106.91</v>
      </c>
      <c r="D19">
        <v>102.42</v>
      </c>
      <c r="E19">
        <v>103.34</v>
      </c>
      <c r="F19">
        <v>649961</v>
      </c>
    </row>
    <row r="20" spans="1:6" x14ac:dyDescent="0.35">
      <c r="A20" s="3">
        <v>46223</v>
      </c>
      <c r="B20">
        <v>103.34</v>
      </c>
      <c r="C20">
        <v>106.74</v>
      </c>
      <c r="D20">
        <v>102.05</v>
      </c>
      <c r="E20">
        <v>104.93</v>
      </c>
      <c r="F20">
        <v>555927</v>
      </c>
    </row>
    <row r="21" spans="1:6" x14ac:dyDescent="0.35">
      <c r="A21" s="3">
        <v>46223</v>
      </c>
      <c r="B21">
        <v>104.93</v>
      </c>
      <c r="C21">
        <v>106.35</v>
      </c>
      <c r="D21">
        <v>103.03</v>
      </c>
      <c r="E21">
        <v>104.06</v>
      </c>
      <c r="F21">
        <v>236380</v>
      </c>
    </row>
    <row r="22" spans="1:6" x14ac:dyDescent="0.35">
      <c r="A22" s="3">
        <v>46224</v>
      </c>
      <c r="B22">
        <v>104.06</v>
      </c>
      <c r="C22">
        <v>105.73</v>
      </c>
      <c r="D22">
        <v>100.67</v>
      </c>
      <c r="E22">
        <v>102.96</v>
      </c>
      <c r="F22">
        <v>307043</v>
      </c>
    </row>
    <row r="23" spans="1:6" x14ac:dyDescent="0.35">
      <c r="A23" s="3">
        <v>46225</v>
      </c>
      <c r="B23">
        <v>102.96</v>
      </c>
      <c r="C23">
        <v>103.9</v>
      </c>
      <c r="D23">
        <v>100.23</v>
      </c>
      <c r="E23">
        <v>102.73</v>
      </c>
      <c r="F23">
        <v>301819</v>
      </c>
    </row>
    <row r="24" spans="1:6" x14ac:dyDescent="0.35">
      <c r="A24" s="3">
        <v>46226</v>
      </c>
      <c r="B24">
        <v>102.73</v>
      </c>
      <c r="C24">
        <v>104.32</v>
      </c>
      <c r="D24">
        <v>100.97</v>
      </c>
      <c r="E24">
        <v>103.6</v>
      </c>
      <c r="F24">
        <v>447955</v>
      </c>
    </row>
    <row r="25" spans="1:6" x14ac:dyDescent="0.35">
      <c r="A25" s="3">
        <v>46227</v>
      </c>
      <c r="B25">
        <v>103.6</v>
      </c>
      <c r="C25">
        <v>105.63</v>
      </c>
      <c r="D25">
        <v>102.97</v>
      </c>
      <c r="E25">
        <v>104.29</v>
      </c>
      <c r="F25">
        <v>279673</v>
      </c>
    </row>
    <row r="26" spans="1:6" x14ac:dyDescent="0.35">
      <c r="A26" s="3">
        <v>46230</v>
      </c>
      <c r="B26">
        <v>104.29</v>
      </c>
      <c r="C26">
        <v>109.53</v>
      </c>
      <c r="D26">
        <v>102.06</v>
      </c>
      <c r="E26">
        <v>107.09</v>
      </c>
      <c r="F26">
        <v>193206</v>
      </c>
    </row>
    <row r="27" spans="1:6" x14ac:dyDescent="0.35">
      <c r="A27" s="3">
        <v>46230</v>
      </c>
      <c r="B27">
        <v>107.09</v>
      </c>
      <c r="C27">
        <v>109.32</v>
      </c>
      <c r="D27">
        <v>105.23</v>
      </c>
      <c r="E27">
        <v>107.38</v>
      </c>
      <c r="F27">
        <v>314448</v>
      </c>
    </row>
    <row r="28" spans="1:6" x14ac:dyDescent="0.35">
      <c r="A28" s="3">
        <v>46230</v>
      </c>
      <c r="B28">
        <v>107.38</v>
      </c>
      <c r="C28">
        <v>108.15</v>
      </c>
      <c r="D28">
        <v>106.01</v>
      </c>
      <c r="E28">
        <v>107.43</v>
      </c>
      <c r="F28">
        <v>272314</v>
      </c>
    </row>
    <row r="29" spans="1:6" x14ac:dyDescent="0.35">
      <c r="A29" s="3">
        <v>46231</v>
      </c>
      <c r="B29">
        <v>107.43</v>
      </c>
      <c r="C29">
        <v>113.03</v>
      </c>
      <c r="D29">
        <v>105.18</v>
      </c>
      <c r="E29">
        <v>110.62</v>
      </c>
      <c r="F29">
        <v>339207</v>
      </c>
    </row>
    <row r="30" spans="1:6" x14ac:dyDescent="0.35">
      <c r="A30" s="3">
        <v>46232</v>
      </c>
      <c r="B30">
        <v>110.62</v>
      </c>
      <c r="C30">
        <v>112.95</v>
      </c>
      <c r="D30">
        <v>107.48</v>
      </c>
      <c r="E30">
        <v>109.72</v>
      </c>
      <c r="F30">
        <v>258022</v>
      </c>
    </row>
    <row r="31" spans="1:6" x14ac:dyDescent="0.35">
      <c r="A31" s="3">
        <v>46233</v>
      </c>
      <c r="B31">
        <v>109.72</v>
      </c>
      <c r="C31">
        <v>111.84</v>
      </c>
      <c r="D31">
        <v>108</v>
      </c>
      <c r="E31">
        <v>110.07</v>
      </c>
      <c r="F31">
        <v>182210</v>
      </c>
    </row>
    <row r="32" spans="1:6" x14ac:dyDescent="0.35">
      <c r="A32" s="3">
        <v>46234</v>
      </c>
      <c r="B32">
        <v>110.07</v>
      </c>
      <c r="C32">
        <v>112.67</v>
      </c>
      <c r="D32">
        <v>108.5</v>
      </c>
      <c r="E32">
        <v>110.61</v>
      </c>
      <c r="F32">
        <v>133302</v>
      </c>
    </row>
    <row r="33" spans="1:6" x14ac:dyDescent="0.35">
      <c r="A33" s="3">
        <v>46237</v>
      </c>
      <c r="B33">
        <v>110.61</v>
      </c>
      <c r="C33">
        <v>111.76</v>
      </c>
      <c r="D33">
        <v>107.94</v>
      </c>
      <c r="E33">
        <v>108.48</v>
      </c>
      <c r="F33">
        <v>608555</v>
      </c>
    </row>
    <row r="34" spans="1:6" x14ac:dyDescent="0.35">
      <c r="A34" s="3">
        <v>46237</v>
      </c>
      <c r="B34">
        <v>108.48</v>
      </c>
      <c r="C34">
        <v>112.67</v>
      </c>
      <c r="D34">
        <v>107.86</v>
      </c>
      <c r="E34">
        <v>111.56</v>
      </c>
      <c r="F34">
        <v>662257</v>
      </c>
    </row>
    <row r="35" spans="1:6" x14ac:dyDescent="0.35">
      <c r="A35" s="3">
        <v>46237</v>
      </c>
      <c r="B35">
        <v>111.56</v>
      </c>
      <c r="C35">
        <v>113.95</v>
      </c>
      <c r="D35">
        <v>108.63</v>
      </c>
      <c r="E35">
        <v>109.3</v>
      </c>
      <c r="F35">
        <v>406912</v>
      </c>
    </row>
    <row r="36" spans="1:6" x14ac:dyDescent="0.35">
      <c r="A36" s="3">
        <v>46238</v>
      </c>
      <c r="B36">
        <v>109.3</v>
      </c>
      <c r="C36">
        <v>114.75</v>
      </c>
      <c r="D36">
        <v>108.55</v>
      </c>
      <c r="E36">
        <v>112.72</v>
      </c>
      <c r="F36">
        <v>466042</v>
      </c>
    </row>
    <row r="37" spans="1:6" x14ac:dyDescent="0.35">
      <c r="A37" s="3">
        <v>46239</v>
      </c>
      <c r="B37">
        <v>112.72</v>
      </c>
      <c r="C37">
        <v>116.09</v>
      </c>
      <c r="D37">
        <v>111.69</v>
      </c>
      <c r="E37">
        <v>114.5</v>
      </c>
      <c r="F37">
        <v>552689</v>
      </c>
    </row>
    <row r="38" spans="1:6" x14ac:dyDescent="0.35">
      <c r="A38" s="3">
        <v>46240</v>
      </c>
      <c r="B38">
        <v>114.5</v>
      </c>
      <c r="C38">
        <v>116.07</v>
      </c>
      <c r="D38">
        <v>111.66</v>
      </c>
      <c r="E38">
        <v>113.62</v>
      </c>
      <c r="F38">
        <v>218886</v>
      </c>
    </row>
    <row r="39" spans="1:6" x14ac:dyDescent="0.35">
      <c r="A39" s="3">
        <v>46241</v>
      </c>
      <c r="B39">
        <v>113.62</v>
      </c>
      <c r="C39">
        <v>115.74</v>
      </c>
      <c r="D39">
        <v>111.13</v>
      </c>
      <c r="E39">
        <v>114.61</v>
      </c>
      <c r="F39">
        <v>400735</v>
      </c>
    </row>
    <row r="40" spans="1:6" x14ac:dyDescent="0.35">
      <c r="A40" s="3">
        <v>46244</v>
      </c>
      <c r="B40">
        <v>114.61</v>
      </c>
      <c r="C40">
        <v>115.36</v>
      </c>
      <c r="D40">
        <v>111.78</v>
      </c>
      <c r="E40">
        <v>112.73</v>
      </c>
      <c r="F40">
        <v>318845</v>
      </c>
    </row>
    <row r="41" spans="1:6" x14ac:dyDescent="0.35">
      <c r="A41" s="3">
        <v>46244</v>
      </c>
      <c r="B41">
        <v>112.73</v>
      </c>
      <c r="C41">
        <v>115.67</v>
      </c>
      <c r="D41">
        <v>111.77</v>
      </c>
      <c r="E41">
        <v>114</v>
      </c>
      <c r="F41">
        <v>241444</v>
      </c>
    </row>
    <row r="42" spans="1:6" x14ac:dyDescent="0.35">
      <c r="A42" s="3">
        <v>46244</v>
      </c>
      <c r="B42">
        <v>114</v>
      </c>
      <c r="C42">
        <v>117.85</v>
      </c>
      <c r="D42">
        <v>111.68</v>
      </c>
      <c r="E42">
        <v>116.89</v>
      </c>
      <c r="F42">
        <v>637664</v>
      </c>
    </row>
    <row r="43" spans="1:6" x14ac:dyDescent="0.35">
      <c r="A43" s="3">
        <v>46245</v>
      </c>
      <c r="B43">
        <v>116.89</v>
      </c>
      <c r="C43">
        <v>119.1</v>
      </c>
      <c r="D43">
        <v>115.92</v>
      </c>
      <c r="E43">
        <v>118.46</v>
      </c>
      <c r="F43">
        <v>447662</v>
      </c>
    </row>
    <row r="44" spans="1:6" x14ac:dyDescent="0.35">
      <c r="A44" s="3">
        <v>46246</v>
      </c>
      <c r="B44">
        <v>118.46</v>
      </c>
      <c r="C44">
        <v>121.42</v>
      </c>
      <c r="D44">
        <v>116.82</v>
      </c>
      <c r="E44">
        <v>119.05</v>
      </c>
      <c r="F44">
        <v>308405</v>
      </c>
    </row>
    <row r="45" spans="1:6" x14ac:dyDescent="0.35">
      <c r="A45" s="3">
        <v>46247</v>
      </c>
      <c r="B45">
        <v>119.05</v>
      </c>
      <c r="C45">
        <v>122.51</v>
      </c>
      <c r="D45">
        <v>116.93</v>
      </c>
      <c r="E45">
        <v>120.44</v>
      </c>
      <c r="F45">
        <v>233617</v>
      </c>
    </row>
    <row r="46" spans="1:6" x14ac:dyDescent="0.35">
      <c r="A46" s="3">
        <v>46248</v>
      </c>
      <c r="B46">
        <v>120.44</v>
      </c>
      <c r="C46">
        <v>123.88</v>
      </c>
      <c r="D46">
        <v>119</v>
      </c>
      <c r="E46">
        <v>122.53</v>
      </c>
      <c r="F46">
        <v>511480</v>
      </c>
    </row>
    <row r="47" spans="1:6" x14ac:dyDescent="0.35">
      <c r="A47" s="3">
        <v>46251</v>
      </c>
      <c r="B47">
        <v>122.53</v>
      </c>
      <c r="C47">
        <v>125.94</v>
      </c>
      <c r="D47">
        <v>120.06</v>
      </c>
      <c r="E47">
        <v>124.1</v>
      </c>
      <c r="F47">
        <v>200207</v>
      </c>
    </row>
    <row r="48" spans="1:6" x14ac:dyDescent="0.35">
      <c r="A48" s="3">
        <v>46251</v>
      </c>
      <c r="B48">
        <v>124.1</v>
      </c>
      <c r="C48">
        <v>126.32</v>
      </c>
      <c r="D48">
        <v>121.96</v>
      </c>
      <c r="E48">
        <v>122.95</v>
      </c>
      <c r="F48">
        <v>224460</v>
      </c>
    </row>
    <row r="49" spans="1:6" x14ac:dyDescent="0.35">
      <c r="A49" s="3">
        <v>46251</v>
      </c>
      <c r="B49">
        <v>122.95</v>
      </c>
      <c r="C49">
        <v>125.75</v>
      </c>
      <c r="D49">
        <v>121.61</v>
      </c>
      <c r="E49">
        <v>124.35</v>
      </c>
      <c r="F49">
        <v>271083</v>
      </c>
    </row>
    <row r="50" spans="1:6" x14ac:dyDescent="0.35">
      <c r="A50" s="3">
        <v>46252</v>
      </c>
      <c r="B50">
        <v>124.35</v>
      </c>
      <c r="C50">
        <v>126.09</v>
      </c>
      <c r="D50">
        <v>122.13</v>
      </c>
      <c r="E50">
        <v>124.71</v>
      </c>
      <c r="F50">
        <v>323052</v>
      </c>
    </row>
    <row r="51" spans="1:6" x14ac:dyDescent="0.35">
      <c r="A51" s="3">
        <v>46253</v>
      </c>
      <c r="B51">
        <v>124.71</v>
      </c>
      <c r="C51">
        <v>130.19</v>
      </c>
      <c r="D51">
        <v>122.21</v>
      </c>
      <c r="E51">
        <v>129.59</v>
      </c>
      <c r="F51">
        <v>782436</v>
      </c>
    </row>
    <row r="52" spans="1:6" x14ac:dyDescent="0.35">
      <c r="A52" s="3">
        <v>46254</v>
      </c>
      <c r="B52">
        <v>129.59</v>
      </c>
      <c r="C52">
        <v>136.62</v>
      </c>
      <c r="D52">
        <v>128.76</v>
      </c>
      <c r="E52">
        <v>134.41999999999999</v>
      </c>
      <c r="F52">
        <v>551100</v>
      </c>
    </row>
    <row r="53" spans="1:6" x14ac:dyDescent="0.35">
      <c r="A53" s="3">
        <v>46255</v>
      </c>
      <c r="B53">
        <v>134.41999999999999</v>
      </c>
      <c r="C53">
        <v>135.35</v>
      </c>
      <c r="D53">
        <v>132.58000000000001</v>
      </c>
      <c r="E53">
        <v>133.88999999999999</v>
      </c>
      <c r="F53">
        <v>154240</v>
      </c>
    </row>
    <row r="54" spans="1:6" x14ac:dyDescent="0.35">
      <c r="A54" s="3">
        <v>46258</v>
      </c>
      <c r="B54">
        <v>133.88999999999999</v>
      </c>
      <c r="C54">
        <v>134.91999999999999</v>
      </c>
      <c r="D54">
        <v>127.96</v>
      </c>
      <c r="E54">
        <v>130.03</v>
      </c>
      <c r="F54">
        <v>478713</v>
      </c>
    </row>
    <row r="55" spans="1:6" x14ac:dyDescent="0.35">
      <c r="A55" s="3">
        <v>46258</v>
      </c>
      <c r="B55">
        <v>130.03</v>
      </c>
      <c r="C55">
        <v>135.72999999999999</v>
      </c>
      <c r="D55">
        <v>127.61</v>
      </c>
      <c r="E55">
        <v>134.38</v>
      </c>
      <c r="F55">
        <v>839118</v>
      </c>
    </row>
    <row r="56" spans="1:6" x14ac:dyDescent="0.35">
      <c r="A56" s="3">
        <v>46258</v>
      </c>
      <c r="B56">
        <v>134.38</v>
      </c>
      <c r="C56">
        <v>135.19</v>
      </c>
      <c r="D56">
        <v>130.65</v>
      </c>
      <c r="E56">
        <v>131.74</v>
      </c>
      <c r="F56">
        <v>671874</v>
      </c>
    </row>
    <row r="57" spans="1:6" x14ac:dyDescent="0.35">
      <c r="A57" s="3">
        <v>46259</v>
      </c>
      <c r="B57">
        <v>131.74</v>
      </c>
      <c r="C57">
        <v>133.4</v>
      </c>
      <c r="D57">
        <v>129.41</v>
      </c>
      <c r="E57">
        <v>131</v>
      </c>
      <c r="F57">
        <v>421344</v>
      </c>
    </row>
    <row r="58" spans="1:6" x14ac:dyDescent="0.35">
      <c r="A58" s="3">
        <v>46260</v>
      </c>
      <c r="B58">
        <v>131</v>
      </c>
      <c r="C58">
        <v>135.33000000000001</v>
      </c>
      <c r="D58">
        <v>128.79</v>
      </c>
      <c r="E58">
        <v>133.83000000000001</v>
      </c>
      <c r="F58">
        <v>269293</v>
      </c>
    </row>
    <row r="59" spans="1:6" x14ac:dyDescent="0.35">
      <c r="A59" s="3">
        <v>46261</v>
      </c>
      <c r="B59">
        <v>133.83000000000001</v>
      </c>
      <c r="C59">
        <v>137.53</v>
      </c>
      <c r="D59">
        <v>133.16999999999999</v>
      </c>
      <c r="E59">
        <v>135.11000000000001</v>
      </c>
      <c r="F59">
        <v>227788</v>
      </c>
    </row>
    <row r="60" spans="1:6" x14ac:dyDescent="0.35">
      <c r="A60" s="3">
        <v>46262</v>
      </c>
      <c r="B60">
        <v>135.11000000000001</v>
      </c>
      <c r="C60">
        <v>136.08000000000001</v>
      </c>
      <c r="D60">
        <v>132.24</v>
      </c>
      <c r="E60">
        <v>132.97999999999999</v>
      </c>
      <c r="F60">
        <v>590105</v>
      </c>
    </row>
    <row r="61" spans="1:6" x14ac:dyDescent="0.35">
      <c r="A61" s="3">
        <v>46265</v>
      </c>
      <c r="B61">
        <v>132.97999999999999</v>
      </c>
      <c r="C61">
        <v>133.97</v>
      </c>
      <c r="D61">
        <v>129.94999999999999</v>
      </c>
      <c r="E61">
        <v>131.63999999999999</v>
      </c>
      <c r="F61">
        <v>411105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Trading_Data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Discover Talent</dc:creator>
  <cp:lastModifiedBy>Vinod w</cp:lastModifiedBy>
  <dcterms:created xsi:type="dcterms:W3CDTF">2026-09-30T17:55:41Z</dcterms:created>
  <dcterms:modified xsi:type="dcterms:W3CDTF">2026-10-02T18:04:40Z</dcterms:modified>
</cp:coreProperties>
</file>