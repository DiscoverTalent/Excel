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Vin\Downloads\"/>
    </mc:Choice>
  </mc:AlternateContent>
  <xr:revisionPtr revIDLastSave="0" documentId="8_{9DC0DAF1-8BB5-4E2B-AF13-87F07BEC59C5}" xr6:coauthVersionLast="47" xr6:coauthVersionMax="47" xr10:uidLastSave="{00000000-0000-0000-0000-000000000000}"/>
  <bookViews>
    <workbookView xWindow="-110" yWindow="-110" windowWidth="19420" windowHeight="11500" xr2:uid="{B6E7016D-7D17-47F5-9740-73C946D0194D}"/>
  </bookViews>
  <sheets>
    <sheet name="Weekly Dashboard" sheetId="2" r:id="rId1"/>
    <sheet name="Sheet1" sheetId="1" r:id="rId2"/>
    <sheet name="Chart Data" sheetId="3" state="hidden" r:id="rId3"/>
  </sheets>
  <definedNames>
    <definedName name="_xlchart.v1.0" hidden="1">'Chart Data'!$A$2:$B$11</definedName>
    <definedName name="_xlchart.v1.1" hidden="1">'Chart Data'!$C$1</definedName>
    <definedName name="_xlchart.v1.2" hidden="1">'Chart Data'!$C$2:$C$11</definedName>
    <definedName name="_xlchart.v1.3" hidden="1">'Chart Data'!$A$2:$B$11</definedName>
    <definedName name="_xlchart.v1.4" hidden="1">'Chart Data'!$C$1</definedName>
    <definedName name="_xlchart.v1.5" hidden="1">'Chart Data'!$C$2:$C$11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3" l="1"/>
  <c r="B11" i="3"/>
  <c r="A11" i="3"/>
  <c r="C10" i="3"/>
  <c r="B10" i="3"/>
  <c r="A10" i="3"/>
  <c r="C9" i="3"/>
  <c r="B9" i="3"/>
  <c r="A9" i="3"/>
  <c r="C8" i="3"/>
  <c r="B8" i="3"/>
  <c r="A8" i="3"/>
  <c r="C7" i="3"/>
  <c r="B7" i="3"/>
  <c r="A7" i="3"/>
  <c r="C6" i="3"/>
  <c r="B6" i="3"/>
  <c r="A6" i="3"/>
  <c r="C5" i="3"/>
  <c r="B5" i="3"/>
  <c r="A5" i="3"/>
  <c r="C4" i="3"/>
  <c r="B4" i="3"/>
  <c r="A4" i="3"/>
  <c r="C3" i="3"/>
  <c r="B3" i="3"/>
  <c r="A3" i="3"/>
  <c r="C2" i="3"/>
  <c r="B2" i="3"/>
  <c r="A2" i="3"/>
  <c r="H40" i="2"/>
  <c r="G40" i="2"/>
  <c r="E40" i="2"/>
  <c r="F40" i="2" s="1"/>
  <c r="D40" i="2"/>
  <c r="C40" i="2"/>
  <c r="I40" i="2" s="1" a="1"/>
  <c r="B40" i="2"/>
  <c r="A40" i="2"/>
  <c r="H39" i="2"/>
  <c r="G39" i="2"/>
  <c r="E39" i="2"/>
  <c r="D39" i="2"/>
  <c r="C39" i="2"/>
  <c r="I39" i="2" s="1" a="1"/>
  <c r="A39" i="2"/>
  <c r="H38" i="2"/>
  <c r="G38" i="2"/>
  <c r="E38" i="2"/>
  <c r="D38" i="2"/>
  <c r="C38" i="2"/>
  <c r="I38" i="2" s="1" a="1"/>
  <c r="A38" i="2"/>
  <c r="H37" i="2"/>
  <c r="G37" i="2"/>
  <c r="E37" i="2"/>
  <c r="F37" i="2" s="1"/>
  <c r="D37" i="2"/>
  <c r="B37" i="2" s="1"/>
  <c r="C37" i="2"/>
  <c r="I37" i="2" s="1" a="1"/>
  <c r="A37" i="2"/>
  <c r="I36" i="2" a="1"/>
  <c r="H36" i="2"/>
  <c r="G36" i="2"/>
  <c r="E36" i="2"/>
  <c r="F36" i="2" s="1"/>
  <c r="D36" i="2"/>
  <c r="C36" i="2"/>
  <c r="B36" i="2"/>
  <c r="A36" i="2"/>
  <c r="I35" i="2" a="1"/>
  <c r="H35" i="2"/>
  <c r="G35" i="2"/>
  <c r="E35" i="2"/>
  <c r="D35" i="2"/>
  <c r="C35" i="2"/>
  <c r="A35" i="2"/>
  <c r="H34" i="2"/>
  <c r="G34" i="2"/>
  <c r="E34" i="2"/>
  <c r="F34" i="2" s="1"/>
  <c r="D34" i="2"/>
  <c r="C34" i="2"/>
  <c r="I34" i="2" s="1" a="1"/>
  <c r="B34" i="2"/>
  <c r="A34" i="2"/>
  <c r="H33" i="2"/>
  <c r="G33" i="2"/>
  <c r="E33" i="2"/>
  <c r="D33" i="2"/>
  <c r="C33" i="2"/>
  <c r="I33" i="2" s="1" a="1"/>
  <c r="A33" i="2"/>
  <c r="H32" i="2"/>
  <c r="G32" i="2"/>
  <c r="E32" i="2"/>
  <c r="D32" i="2"/>
  <c r="C32" i="2"/>
  <c r="I32" i="2" s="1" a="1"/>
  <c r="A32" i="2"/>
  <c r="A31" i="2"/>
  <c r="C31" i="2"/>
  <c r="D31" i="2"/>
  <c r="E31" i="2"/>
  <c r="G31" i="2"/>
  <c r="H31" i="2"/>
  <c r="J34" i="2"/>
  <c r="J35" i="2" s="1"/>
  <c r="J36" i="2" s="1"/>
  <c r="J37" i="2" s="1"/>
  <c r="J38" i="2" s="1"/>
  <c r="J39" i="2" s="1"/>
  <c r="J40" i="2" s="1"/>
  <c r="J33" i="2"/>
  <c r="J32" i="2"/>
  <c r="J31" i="2"/>
  <c r="D5" i="2" a="1"/>
  <c r="A5" i="2"/>
  <c r="B39" i="2" l="1"/>
  <c r="F39" i="2"/>
  <c r="F38" i="2"/>
  <c r="B38" i="2"/>
  <c r="B35" i="2"/>
  <c r="F35" i="2"/>
  <c r="B33" i="2"/>
  <c r="F33" i="2"/>
  <c r="B32" i="2"/>
  <c r="F32" i="2"/>
  <c r="J5" i="2" a="1"/>
  <c r="I31" i="2" a="1"/>
  <c r="F31" i="2"/>
  <c r="G5" i="2" s="1" a="1"/>
  <c r="B3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<sst xmlns="http://schemas.openxmlformats.org/spreadsheetml/2006/main" count="27" uniqueCount="21">
  <si>
    <t>Date</t>
  </si>
  <si>
    <t>Open</t>
  </si>
  <si>
    <t>High</t>
  </si>
  <si>
    <t>Low</t>
  </si>
  <si>
    <t>Close</t>
  </si>
  <si>
    <t>Volume</t>
  </si>
  <si>
    <t>WEEKLY MARKET ACTIVITY</t>
  </si>
  <si>
    <t>Monday–Sunday view • Tile size = weekly volume • Color = Gain / Loss</t>
  </si>
  <si>
    <t>WEEKLY VOLUME TREEMAP</t>
  </si>
  <si>
    <t>WEEKLY DETAIL</t>
  </si>
  <si>
    <t>Week Start</t>
  </si>
  <si>
    <t>Week</t>
  </si>
  <si>
    <t>Status</t>
  </si>
  <si>
    <t>Opening</t>
  </si>
  <si>
    <t>Closing</t>
  </si>
  <si>
    <t>Return</t>
  </si>
  <si>
    <t>Avg Daily Volume</t>
  </si>
  <si>
    <t>DIRECTION</t>
  </si>
  <si>
    <t>Gain</t>
  </si>
  <si>
    <t>Loss</t>
  </si>
  <si>
    <t>Tile area reflects total weekly volume. Direction compares the week’s first opening price with its final closing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</si>
</sst>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+0.0%;\-0.0%;0.0%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2937"/>
      <name val="Aptos"/>
      <family val="2"/>
    </font>
    <font>
      <b/>
      <sz val="22"/>
      <color rgb="FFFFFFFF"/>
      <name val="Aptos Narrow"/>
      <family val="2"/>
      <scheme val="minor"/>
    </font>
    <font>
      <sz val="10"/>
      <color rgb="FF5D6B7A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12263A"/>
      <name val="Aptos Narrow"/>
      <family val="2"/>
      <scheme val="minor"/>
    </font>
    <font>
      <b/>
      <sz val="11"/>
      <color rgb="FF12263A"/>
      <name val="Aptos Narrow"/>
      <family val="2"/>
      <scheme val="minor"/>
    </font>
    <font>
      <b/>
      <sz val="11"/>
      <color rgb="FFFFFFFF"/>
      <name val="Aptos"/>
      <family val="2"/>
    </font>
    <font>
      <sz val="9"/>
      <color rgb="FF5D6B7A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2263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0"/>
        <bgColor indexed="64"/>
      </patternFill>
    </fill>
    <fill>
      <patternFill patternType="solid">
        <fgColor rgb="FF168777"/>
        <bgColor indexed="64"/>
      </patternFill>
    </fill>
    <fill>
      <patternFill patternType="solid">
        <fgColor rgb="FFC9555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8E1EA"/>
      </bottom>
      <diagonal/>
    </border>
    <border>
      <left/>
      <right/>
      <top/>
      <bottom style="thick">
        <color rgb="FF0F766E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1" fillId="2" borderId="0" xfId="0" applyNumberFormat="1" applyFont="1" applyFill="1"/>
    <xf numFmtId="0" fontId="1" fillId="2" borderId="0" xfId="0" applyFont="1" applyFill="1"/>
    <xf numFmtId="14" fontId="0" fillId="0" borderId="0" xfId="0" applyNumberFormat="1"/>
    <xf numFmtId="0" fontId="2" fillId="3" borderId="0" xfId="0" applyFont="1" applyFill="1"/>
    <xf numFmtId="0" fontId="4" fillId="0" borderId="0" xfId="0" applyFont="1"/>
    <xf numFmtId="0" fontId="5" fillId="5" borderId="0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0" borderId="0" xfId="0" applyFont="1"/>
    <xf numFmtId="0" fontId="2" fillId="3" borderId="0" xfId="0" applyFont="1" applyFill="1" applyAlignment="1">
      <alignment horizontal="left"/>
    </xf>
    <xf numFmtId="3" fontId="2" fillId="3" borderId="0" xfId="0" applyNumberFormat="1" applyFont="1" applyFill="1" applyAlignment="1">
      <alignment horizontal="right"/>
    </xf>
    <xf numFmtId="2" fontId="2" fillId="3" borderId="0" xfId="0" applyNumberFormat="1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  <xf numFmtId="3" fontId="0" fillId="0" borderId="0" xfId="0" applyNumberFormat="1"/>
    <xf numFmtId="0" fontId="7" fillId="0" borderId="0" xfId="0" applyFont="1"/>
    <xf numFmtId="0" fontId="8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9" fillId="0" borderId="0" xfId="0" applyFont="1" applyAlignment="1">
      <alignment vertical="top" wrapText="1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font>
        <b/>
        <i val="0"/>
        <color rgb="FFA63D3D"/>
      </font>
    </dxf>
    <dxf>
      <font>
        <b/>
        <i val="0"/>
        <color rgb="FF0B6B59"/>
      </font>
    </dxf>
    <dxf>
      <font>
        <b/>
        <i val="0"/>
        <color rgb="FFA63D3D"/>
      </font>
      <fill>
        <patternFill patternType="solid">
          <fgColor indexed="64"/>
          <bgColor rgb="FFF9DEDE"/>
        </patternFill>
      </fill>
    </dxf>
    <dxf>
      <font>
        <b/>
        <i val="0"/>
        <color rgb="FF0B6B59"/>
      </font>
      <fill>
        <patternFill patternType="solid">
          <fgColor indexed="64"/>
          <bgColor rgb="FFD7F0E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family val="2"/>
        <scheme val="none"/>
      </font>
      <numFmt numFmtId="3" formatCode="#,##0"/>
      <fill>
        <patternFill patternType="solid">
          <fgColor indexed="64"/>
          <bgColor rgb="FFF4F7FA"/>
        </patternFill>
      </fill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family val="2"/>
        <scheme val="none"/>
      </font>
      <numFmt numFmtId="2" formatCode="0.00"/>
      <fill>
        <patternFill patternType="solid">
          <fgColor indexed="64"/>
          <bgColor rgb="FFF4F7FA"/>
        </patternFill>
      </fill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family val="2"/>
        <scheme val="none"/>
      </font>
      <numFmt numFmtId="2" formatCode="0.00"/>
      <fill>
        <patternFill patternType="solid">
          <fgColor indexed="64"/>
          <bgColor rgb="FFF4F7FA"/>
        </patternFill>
      </fill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family val="2"/>
        <scheme val="none"/>
      </font>
      <numFmt numFmtId="164" formatCode="\+0.0%;\-0.0%;0.0%"/>
      <fill>
        <patternFill patternType="solid">
          <fgColor indexed="64"/>
          <bgColor rgb="FFF4F7FA"/>
        </patternFill>
      </fill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family val="2"/>
        <scheme val="none"/>
      </font>
      <numFmt numFmtId="2" formatCode="0.00"/>
      <fill>
        <patternFill patternType="solid">
          <fgColor indexed="64"/>
          <bgColor rgb="FFF4F7FA"/>
        </patternFill>
      </fill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family val="2"/>
        <scheme val="none"/>
      </font>
      <numFmt numFmtId="2" formatCode="0.00"/>
      <fill>
        <patternFill patternType="solid">
          <fgColor indexed="64"/>
          <bgColor rgb="FFF4F7FA"/>
        </patternFill>
      </fill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family val="2"/>
        <scheme val="none"/>
      </font>
      <numFmt numFmtId="3" formatCode="#,##0"/>
      <fill>
        <patternFill patternType="solid">
          <fgColor indexed="64"/>
          <bgColor rgb="FFF4F7FA"/>
        </patternFill>
      </fill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family val="2"/>
        <scheme val="none"/>
      </font>
      <fill>
        <patternFill patternType="solid">
          <fgColor indexed="64"/>
          <bgColor rgb="FFF4F7FA"/>
        </patternFill>
      </fill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family val="2"/>
        <scheme val="none"/>
      </font>
      <fill>
        <patternFill patternType="solid">
          <fgColor indexed="64"/>
          <bgColor rgb="FFF4F7FA"/>
        </patternFill>
      </fill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family val="2"/>
        <scheme val="none"/>
      </font>
      <fill>
        <patternFill patternType="solid">
          <fgColor indexed="64"/>
          <bgColor rgb="FFF4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family val="2"/>
        <scheme val="none"/>
      </font>
      <fill>
        <patternFill patternType="solid">
          <fgColor indexed="64"/>
          <bgColor rgb="FFF4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numFmt numFmtId="19" formatCode="dd/mm/yyyy"/>
    </dxf>
  </dxfs>
  <tableStyles count="1" defaultTableStyle="TableStyleMedium2" defaultPivotStyle="PivotStyleLight16">
    <tableStyle name="Invisible" pivot="0" table="0" count="0" xr9:uid="{2BBA454A-B8F8-45F8-B293-68E0AA10009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Weekly Volume by Market Direction</cx:v>
        </cx:txData>
      </cx:tx>
      <cx:txPr>
        <a:bodyPr vertOverflow="overflow" horzOverflow="overflow" wrap="square" lIns="0" tIns="0" rIns="0" bIns="0"/>
        <a:lstStyle/>
        <a:p>
          <a:pPr algn="ctr" rtl="0">
            <a:defRPr sz="1500" b="1" i="0">
              <a:solidFill>
                <a:srgbClr val="12263A"/>
              </a:solidFill>
              <a:latin typeface="Aptos Display" panose="020B0004020202020204" pitchFamily="34" charset="0"/>
              <a:ea typeface="Aptos Display" panose="020B0004020202020204" pitchFamily="34" charset="0"/>
              <a:cs typeface="Aptos Display" panose="020B0004020202020204" pitchFamily="34" charset="0"/>
            </a:defRPr>
          </a:pPr>
          <a:r>
            <a:rPr lang="en-IN" sz="1500" b="1">
              <a:solidFill>
                <a:srgbClr val="12263A"/>
              </a:solidFill>
              <a:latin typeface="Aptos Display" panose="020B0004020202020204" pitchFamily="34" charset="0"/>
            </a:rPr>
            <a:t>Weekly Volume by Market Direction</a:t>
          </a:r>
        </a:p>
      </cx:txPr>
    </cx:title>
    <cx:plotArea>
      <cx:plotAreaRegion>
        <cx:series layoutId="treemap" uniqueId="{00000001-A160-4AD1-9E73-BAE1B8A4164C}">
          <cx:tx>
            <cx:txData>
              <cx:f>_xlchart.v1.1</cx:f>
              <cx:v>Volume</cx:v>
            </cx:txData>
          </cx:tx>
          <cx:dataPt idx="0">
            <cx:spPr>
              <a:solidFill>
                <a:srgbClr val="C95555"/>
              </a:solidFill>
            </cx:spPr>
          </cx:dataPt>
          <cx:dataPt idx="1">
            <cx:spPr>
              <a:solidFill>
                <a:srgbClr val="168777"/>
              </a:solidFill>
            </cx:spPr>
          </cx:dataPt>
          <cx:dataPt idx="2">
            <cx:spPr>
              <a:solidFill>
                <a:srgbClr val="168777"/>
              </a:solidFill>
            </cx:spPr>
          </cx:dataPt>
          <cx:dataPt idx="3">
            <cx:spPr>
              <a:solidFill>
                <a:srgbClr val="C95555"/>
              </a:solidFill>
            </cx:spPr>
          </cx:dataPt>
          <cx:dataPt idx="4">
            <cx:spPr>
              <a:solidFill>
                <a:srgbClr val="168777"/>
              </a:solidFill>
            </cx:spPr>
          </cx:dataPt>
          <cx:dataPt idx="5">
            <cx:spPr>
              <a:solidFill>
                <a:srgbClr val="168777"/>
              </a:solidFill>
            </cx:spPr>
          </cx:dataPt>
          <cx:dataPt idx="6">
            <cx:spPr>
              <a:solidFill>
                <a:srgbClr val="168777"/>
              </a:solidFill>
            </cx:spPr>
          </cx:dataPt>
          <cx:dataPt idx="7">
            <cx:spPr>
              <a:solidFill>
                <a:srgbClr val="168777"/>
              </a:solidFill>
            </cx:spPr>
          </cx:dataPt>
          <cx:dataPt idx="8">
            <cx:spPr>
              <a:solidFill>
                <a:srgbClr val="C95555"/>
              </a:solidFill>
            </cx:spPr>
          </cx:dataPt>
          <cx:dataPt idx="9">
            <cx:spPr>
              <a:solidFill>
                <a:srgbClr val="C95555"/>
              </a:solidFill>
            </cx:spPr>
          </cx:dataPt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1" i="0">
                    <a:solidFill>
                      <a:srgbClr val="FFFFFF"/>
                    </a:solidFill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endParaRPr lang="en-IN" sz="900" b="1">
                  <a:solidFill>
                    <a:srgbClr val="FFFFFF"/>
                  </a:solidFill>
                </a:endParaRPr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  <cx:spPr>
    <a:solidFill>
      <a:srgbClr val="FFFFFF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12</xdr:col>
      <xdr:colOff>0</xdr:colOff>
      <xdr:row>27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eekly Volume Treemap">
              <a:extLst>
                <a:ext uri="{FF2B5EF4-FFF2-40B4-BE49-F238E27FC236}">
                  <a16:creationId xmlns:a16="http://schemas.microsoft.com/office/drawing/2014/main" id="{337723A1-3480-40F5-D934-9F74814849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870200"/>
              <a:ext cx="9652000" cy="388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11455B-CBC4-4032-8F36-FD31BFD02C57}" name="WeeklySummary" displayName="WeeklySummary" ref="A30:I40" totalsRowShown="0" headerRowDxfId="13" dataDxfId="14">
  <autoFilter ref="A30:I40" xr:uid="{3011455B-CBC4-4032-8F36-FD31BFD02C57}"/>
  <tableColumns count="9">
    <tableColumn id="1" xr3:uid="{B9F9924B-2E83-4B3A-A42E-381AA4BDC0EA}" name="Week" dataDxfId="12">
      <calculatedColumnFormula>TEXT($J31,"dd mmm")&amp;" – "&amp;TEXT($J31+6,"dd mmm")</calculatedColumnFormula>
    </tableColumn>
    <tableColumn id="2" xr3:uid="{7EB1679E-E438-46AC-97C0-EA3042AB686D}" name="Status" dataDxfId="11">
      <calculatedColumnFormula>IF(E31&gt;=D31,"Gain","Loss")</calculatedColumnFormula>
    </tableColumn>
    <tableColumn id="3" xr3:uid="{40E3F420-F143-4012-B30A-039BA402D008}" name="Volume" dataDxfId="10">
      <calculatedColumnFormula>_xlfn.LET(_xlpm.ws,$J31,_xlpm.we,_xlpm.ws+6,SUMIFS(Table1[Volume],Table1[Date],"&gt;="&amp;_xlpm.ws,Table1[Date],"&lt;="&amp;_xlpm.we))</calculatedColumnFormula>
    </tableColumn>
    <tableColumn id="4" xr3:uid="{EAF1C08B-346F-491D-A8A0-F6F073A09318}" name="Opening" dataDxfId="9">
      <calculatedColumnFormula>_xlfn.LET(_xlpm.ws,$J31,_xlpm.we,_xlpm.ws+6,_xlfn.XLOOKUP(_xlfn.MINIFS(Table1[Date],Table1[Date],"&gt;="&amp;_xlpm.ws,Table1[Date],"&lt;="&amp;_xlpm.we),Table1[Date],Table1[Open]))</calculatedColumnFormula>
    </tableColumn>
    <tableColumn id="5" xr3:uid="{6FB0FADC-8890-48E5-A20B-AEF4DC3B48F7}" name="Closing" dataDxfId="8">
      <calculatedColumnFormula>_xlfn.LET(_xlpm.ws,$J31,_xlpm.we,_xlpm.ws+6,_xlfn.XLOOKUP(_xlfn.MAXIFS(Table1[Date],Table1[Date],"&gt;="&amp;_xlpm.ws,Table1[Date],"&lt;="&amp;_xlpm.we),Table1[Date],Table1[Close],,0,-1))</calculatedColumnFormula>
    </tableColumn>
    <tableColumn id="6" xr3:uid="{955C70DA-8261-4DC3-BC1F-985549F71441}" name="Return" dataDxfId="7">
      <calculatedColumnFormula>IFERROR(E31/D31-1,0)</calculatedColumnFormula>
    </tableColumn>
    <tableColumn id="7" xr3:uid="{8135556A-F01C-4831-BE4F-DEA0CCFDCCBE}" name="High" dataDxfId="6">
      <calculatedColumnFormula>_xlfn.LET(_xlpm.ws,$J31,_xlpm.we,_xlpm.ws+6,_xlfn.MAXIFS(Table1[High],Table1[Date],"&gt;="&amp;_xlpm.ws,Table1[Date],"&lt;="&amp;_xlpm.we))</calculatedColumnFormula>
    </tableColumn>
    <tableColumn id="8" xr3:uid="{BCFD5C14-30B4-405F-9051-1E58F1BDB0D7}" name="Low" dataDxfId="5">
      <calculatedColumnFormula>_xlfn.LET(_xlpm.ws,$J31,_xlpm.we,_xlpm.ws+6,_xlfn.MINIFS(Table1[Low],Table1[Date],"&gt;="&amp;_xlpm.ws,Table1[Date],"&lt;="&amp;_xlpm.we))</calculatedColumnFormula>
    </tableColumn>
    <tableColumn id="9" xr3:uid="{2F3A9458-9F19-4858-A1D2-BF0FACBDB496}" name="Avg Daily Volume" dataDxfId="4">
      <calculatedColumnFormula array="1">_xlfn.LET(_xlpm.ws,$J31,_xlpm.we,_xlpm.ws+6,C31/ROWS(_xlfn.UNIQUE(_xlfn._xlws.FILTER(Table1[Date],(Table1[Date]&gt;=_xlpm.ws)*(Table1[Date]&lt;=_xlpm.we)))))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CABA5C-D042-4BA8-ACD2-11091F0A3E4F}" name="Table1" displayName="Table1" ref="A1:F61" totalsRowShown="0" headerRowDxfId="15">
  <autoFilter ref="A1:F61" xr:uid="{4ECABA5C-D042-4BA8-ACD2-11091F0A3E4F}"/>
  <tableColumns count="6">
    <tableColumn id="1" xr3:uid="{0A83659A-8785-4FFD-8474-05F27ADF1358}" name="Date" dataDxfId="16"/>
    <tableColumn id="2" xr3:uid="{48B55374-B97E-4F5C-8B4F-BA42F1E919EA}" name="Open"/>
    <tableColumn id="3" xr3:uid="{E5B93E72-693B-4D79-9EFF-5D3F419F8F73}" name="High"/>
    <tableColumn id="4" xr3:uid="{4301219E-E593-46DA-A2EC-5F78AE18D29B}" name="Low"/>
    <tableColumn id="5" xr3:uid="{3330247B-5B29-4BF7-B226-887F4C84E0EF}" name="Close"/>
    <tableColumn id="6" xr3:uid="{B7B13F86-28C3-47EA-83A1-DD9AFBAF5276}" name="Volu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1C3B-83DA-467D-A30D-141CFF26A3FC}">
  <dimension ref="A1:L42"/>
  <sheetViews>
    <sheetView showGridLines="0" tabSelected="1" zoomScale="40" zoomScaleNormal="40" workbookViewId="0">
      <selection activeCell="O15" sqref="O15"/>
    </sheetView>
  </sheetViews>
  <sheetFormatPr defaultRowHeight="14.5" x14ac:dyDescent="0.35"/>
  <cols>
    <col min="1" max="1" width="17.453125" customWidth="1"/>
    <col min="2" max="2" width="10.54296875" customWidth="1"/>
    <col min="3" max="3" width="13.08984375" customWidth="1"/>
    <col min="4" max="5" width="12" customWidth="1"/>
    <col min="6" max="6" width="10.90625" customWidth="1"/>
    <col min="7" max="8" width="11.26953125" customWidth="1"/>
    <col min="9" max="9" width="17.453125" customWidth="1"/>
    <col min="10" max="10" width="11.6328125" hidden="1" customWidth="1"/>
    <col min="11" max="12" width="11.6328125" customWidth="1"/>
  </cols>
  <sheetData>
    <row r="1" spans="1:12" ht="25" customHeight="1" x14ac:dyDescent="0.35">
      <c r="A1" s="20" t="s">
        <v>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25" customHeight="1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22" customHeight="1" x14ac:dyDescent="0.35">
      <c r="A3" s="5" t="s">
        <v>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18" customHeight="1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4" customHeight="1" x14ac:dyDescent="0.35">
      <c r="A5" s="6" t="str">
        <f>"TOTAL VOLUME"&amp;CHAR(10)&amp;TEXT(SUM(Table1[Volume]),"0.0,,\M")</f>
        <v>TOTAL VOLUME
23.2M</v>
      </c>
      <c r="B5" s="6"/>
      <c r="C5" s="6"/>
      <c r="D5" s="7" t="str" cm="1">
        <f t="array" ref="D5">"OVERALL RETURN"&amp;CHAR(10)&amp;TEXT(INDEX(Table1[Close],ROWS(Table1[Close]))/INDEX(Table1[Open],1)-1,"+0.0%;-0.0%")</f>
        <v>OVERALL RETURN
+31.6%</v>
      </c>
      <c r="E5" s="7"/>
      <c r="F5" s="7"/>
      <c r="G5" s="6" t="str" cm="1">
        <f t="array" ref="G5">"BEST-PERFORMING WEEK"&amp;CHAR(10)&amp;INDEX($A$31:$A$40,_xlfn.XMATCH(MAX($F$31:$F$40),$F$31:$F$40))&amp;"  |  "&amp;TEXT(MAX($F$31:$F$40),"+0.0%;-0.0%")</f>
        <v>BEST-PERFORMING WEEK
17 Aug – 23 Aug  |  +9.3%</v>
      </c>
      <c r="H5" s="6"/>
      <c r="I5" s="6"/>
      <c r="J5" s="6" t="str" cm="1">
        <f t="array" ref="J5">"HIGHEST-VOLUME WEEK"&amp;CHAR(10)&amp;INDEX($A$31:$A$40,_xlfn.XMATCH(MAX($C$31:$C$40),$C$31:$C$40))&amp;"  |  "&amp;TEXT(MAX($C$31:$C$40),"0.0,,\M")</f>
        <v>HIGHEST-VOLUME WEEK
24 Aug – 30 Aug  |  3.5M</v>
      </c>
      <c r="K5" s="6"/>
      <c r="L5" s="6"/>
    </row>
    <row r="6" spans="1:12" ht="24" customHeight="1" x14ac:dyDescent="0.35">
      <c r="A6" s="6"/>
      <c r="B6" s="6"/>
      <c r="C6" s="6"/>
      <c r="D6" s="7"/>
      <c r="E6" s="7"/>
      <c r="F6" s="7"/>
      <c r="G6" s="6"/>
      <c r="H6" s="6"/>
      <c r="I6" s="6"/>
      <c r="J6" s="6"/>
      <c r="K6" s="6"/>
      <c r="L6" s="6"/>
    </row>
    <row r="7" spans="1:12" ht="24" customHeight="1" x14ac:dyDescent="0.35">
      <c r="A7" s="6"/>
      <c r="B7" s="6"/>
      <c r="C7" s="6"/>
      <c r="D7" s="7"/>
      <c r="E7" s="7"/>
      <c r="F7" s="7"/>
      <c r="G7" s="6"/>
      <c r="H7" s="6"/>
      <c r="I7" s="6"/>
      <c r="J7" s="6"/>
      <c r="K7" s="6"/>
      <c r="L7" s="6"/>
    </row>
    <row r="8" spans="1:12" ht="24" customHeight="1" thickBot="1" x14ac:dyDescent="0.4">
      <c r="A8" s="8"/>
      <c r="B8" s="8"/>
      <c r="C8" s="8"/>
      <c r="D8" s="9"/>
      <c r="E8" s="9"/>
      <c r="F8" s="9"/>
      <c r="G8" s="8"/>
      <c r="H8" s="8"/>
      <c r="I8" s="8"/>
      <c r="J8" s="8"/>
      <c r="K8" s="8"/>
      <c r="L8" s="8"/>
    </row>
    <row r="9" spans="1:12" ht="18" customHeight="1" thickTop="1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22" customHeight="1" x14ac:dyDescent="0.4">
      <c r="A10" s="10" t="s">
        <v>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8" customHeight="1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8" customHeigh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8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8" customHeigh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8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8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8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8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8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8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8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8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8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8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8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8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8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8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22" customHeight="1" x14ac:dyDescent="0.4">
      <c r="A29" s="10" t="s">
        <v>9</v>
      </c>
      <c r="B29" s="10"/>
      <c r="C29" s="10"/>
      <c r="D29" s="10"/>
      <c r="E29" s="10"/>
      <c r="F29" s="10"/>
      <c r="G29" s="10"/>
      <c r="H29" s="10"/>
      <c r="I29" s="10"/>
      <c r="J29" s="4"/>
      <c r="K29" s="16" t="s">
        <v>17</v>
      </c>
      <c r="L29" s="16"/>
    </row>
    <row r="30" spans="1:12" x14ac:dyDescent="0.35">
      <c r="A30" s="4" t="s">
        <v>11</v>
      </c>
      <c r="B30" s="4" t="s">
        <v>12</v>
      </c>
      <c r="C30" s="4" t="s">
        <v>5</v>
      </c>
      <c r="D30" s="4" t="s">
        <v>13</v>
      </c>
      <c r="E30" s="4" t="s">
        <v>14</v>
      </c>
      <c r="F30" s="4" t="s">
        <v>15</v>
      </c>
      <c r="G30" s="4" t="s">
        <v>2</v>
      </c>
      <c r="H30" s="4" t="s">
        <v>3</v>
      </c>
      <c r="I30" s="4" t="s">
        <v>16</v>
      </c>
      <c r="J30" s="4" t="s">
        <v>10</v>
      </c>
      <c r="K30" s="17" t="s">
        <v>18</v>
      </c>
      <c r="L30" s="18" t="s">
        <v>19</v>
      </c>
    </row>
    <row r="31" spans="1:12" x14ac:dyDescent="0.35">
      <c r="A31" s="11" t="str">
        <f>TEXT($J31,"dd mmm")&amp;" – "&amp;TEXT($J31+6,"dd mmm")</f>
        <v>29 Jun – 05 Jul</v>
      </c>
      <c r="B31" s="11" t="str">
        <f>IF(E31&gt;=D31,"Gain","Loss")</f>
        <v>Loss</v>
      </c>
      <c r="C31" s="12">
        <f>_xlfn.LET(_xlpm.ws,$J31,_xlpm.we,_xlpm.ws+6,SUMIFS(Table1[Volume],Table1[Date],"&gt;="&amp;_xlpm.ws,Table1[Date],"&lt;="&amp;_xlpm.we))</f>
        <v>647255</v>
      </c>
      <c r="D31" s="13">
        <f>_xlfn.LET(_xlpm.ws,$J31,_xlpm.we,_xlpm.ws+6,_xlfn.XLOOKUP(_xlfn.MINIFS(Table1[Date],Table1[Date],"&gt;="&amp;_xlpm.ws,Table1[Date],"&lt;="&amp;_xlpm.we),Table1[Date],Table1[Open]))</f>
        <v>100</v>
      </c>
      <c r="E31" s="13">
        <f>_xlfn.LET(_xlpm.ws,$J31,_xlpm.we,_xlpm.ws+6,_xlfn.XLOOKUP(_xlfn.MAXIFS(Table1[Date],Table1[Date],"&gt;="&amp;_xlpm.ws,Table1[Date],"&lt;="&amp;_xlpm.we),Table1[Date],Table1[Close],,0,-1))</f>
        <v>99.98</v>
      </c>
      <c r="F31" s="14">
        <f>IFERROR(E31/D31-1,0)</f>
        <v>-1.9999999999997797E-4</v>
      </c>
      <c r="G31" s="13">
        <f>_xlfn.LET(_xlpm.ws,$J31,_xlpm.we,_xlpm.ws+6,_xlfn.MAXIFS(Table1[High],Table1[Date],"&gt;="&amp;_xlpm.ws,Table1[Date],"&lt;="&amp;_xlpm.we))</f>
        <v>101.92</v>
      </c>
      <c r="H31" s="13">
        <f>_xlfn.LET(_xlpm.ws,$J31,_xlpm.we,_xlpm.ws+6,_xlfn.MINIFS(Table1[Low],Table1[Date],"&gt;="&amp;_xlpm.ws,Table1[Date],"&lt;="&amp;_xlpm.we))</f>
        <v>97.78</v>
      </c>
      <c r="I31" s="12" cm="1">
        <f t="array" ref="I31">_xlfn.LET(_xlpm.ws,$J31,_xlpm.we,_xlpm.ws+6,C31/ROWS(_xlfn.UNIQUE(_xlfn._xlws.FILTER(Table1[Date],(Table1[Date]&gt;=_xlpm.ws)*(Table1[Date]&lt;=_xlpm.we)))))</f>
        <v>215751.66666666666</v>
      </c>
      <c r="J31" s="4">
        <f>MIN(Table1[Date])-WEEKDAY(MIN(Table1[Date]),2)+1</f>
        <v>46202</v>
      </c>
      <c r="K31" s="4"/>
      <c r="L31" s="4"/>
    </row>
    <row r="32" spans="1:12" ht="22" customHeight="1" x14ac:dyDescent="0.35">
      <c r="A32" s="11" t="str">
        <f t="shared" ref="A32:A40" si="0">TEXT($J32,"dd mmm")&amp;" – "&amp;TEXT($J32+6,"dd mmm")</f>
        <v>06 Jul – 12 Jul</v>
      </c>
      <c r="B32" s="11" t="str">
        <f t="shared" ref="B32:B40" si="1">IF(E32&gt;=D32,"Gain","Loss")</f>
        <v>Gain</v>
      </c>
      <c r="C32" s="12">
        <f>_xlfn.LET(_xlpm.ws,$J32,_xlpm.we,_xlpm.ws+6,SUMIFS(Table1[Volume],Table1[Date],"&gt;="&amp;_xlpm.ws,Table1[Date],"&lt;="&amp;_xlpm.we))</f>
        <v>3139289</v>
      </c>
      <c r="D32" s="13">
        <f>_xlfn.LET(_xlpm.ws,$J32,_xlpm.we,_xlpm.ws+6,_xlfn.XLOOKUP(_xlfn.MINIFS(Table1[Date],Table1[Date],"&gt;="&amp;_xlpm.ws,Table1[Date],"&lt;="&amp;_xlpm.we),Table1[Date],Table1[Open]))</f>
        <v>99.98</v>
      </c>
      <c r="E32" s="13">
        <f>_xlfn.LET(_xlpm.ws,$J32,_xlpm.we,_xlpm.ws+6,_xlfn.XLOOKUP(_xlfn.MAXIFS(Table1[Date],Table1[Date],"&gt;="&amp;_xlpm.ws,Table1[Date],"&lt;="&amp;_xlpm.we),Table1[Date],Table1[Close],,0,-1))</f>
        <v>100.59</v>
      </c>
      <c r="F32" s="14">
        <f t="shared" ref="F32:F40" si="2">IFERROR(E32/D32-1,0)</f>
        <v>6.1012202440489105E-3</v>
      </c>
      <c r="G32" s="13">
        <f>_xlfn.LET(_xlpm.ws,$J32,_xlpm.we,_xlpm.ws+6,_xlfn.MAXIFS(Table1[High],Table1[Date],"&gt;="&amp;_xlpm.ws,Table1[Date],"&lt;="&amp;_xlpm.we))</f>
        <v>108.18</v>
      </c>
      <c r="H32" s="13">
        <f>_xlfn.LET(_xlpm.ws,$J32,_xlpm.we,_xlpm.ws+6,_xlfn.MINIFS(Table1[Low],Table1[Date],"&gt;="&amp;_xlpm.ws,Table1[Date],"&lt;="&amp;_xlpm.we))</f>
        <v>98.18</v>
      </c>
      <c r="I32" s="12" cm="1">
        <f t="array" ref="I32">_xlfn.LET(_xlpm.ws,$J32,_xlpm.we,_xlpm.ws+6,C32/ROWS(_xlfn.UNIQUE(_xlfn._xlws.FILTER(Table1[Date],(Table1[Date]&gt;=_xlpm.ws)*(Table1[Date]&lt;=_xlpm.we)))))</f>
        <v>627857.80000000005</v>
      </c>
      <c r="J32" s="4">
        <f>J31+7</f>
        <v>46209</v>
      </c>
      <c r="K32" s="19" t="s">
        <v>20</v>
      </c>
      <c r="L32" s="19"/>
    </row>
    <row r="33" spans="1:12" ht="22" customHeight="1" x14ac:dyDescent="0.35">
      <c r="A33" s="11" t="str">
        <f t="shared" si="0"/>
        <v>13 Jul – 19 Jul</v>
      </c>
      <c r="B33" s="11" t="str">
        <f t="shared" si="1"/>
        <v>Gain</v>
      </c>
      <c r="C33" s="12">
        <f>_xlfn.LET(_xlpm.ws,$J33,_xlpm.we,_xlpm.ws+6,SUMIFS(Table1[Volume],Table1[Date],"&gt;="&amp;_xlpm.ws,Table1[Date],"&lt;="&amp;_xlpm.we))</f>
        <v>2516852</v>
      </c>
      <c r="D33" s="13">
        <f>_xlfn.LET(_xlpm.ws,$J33,_xlpm.we,_xlpm.ws+6,_xlfn.XLOOKUP(_xlfn.MINIFS(Table1[Date],Table1[Date],"&gt;="&amp;_xlpm.ws,Table1[Date],"&lt;="&amp;_xlpm.we),Table1[Date],Table1[Open]))</f>
        <v>100.59</v>
      </c>
      <c r="E33" s="13">
        <f>_xlfn.LET(_xlpm.ws,$J33,_xlpm.we,_xlpm.ws+6,_xlfn.XLOOKUP(_xlfn.MAXIFS(Table1[Date],Table1[Date],"&gt;="&amp;_xlpm.ws,Table1[Date],"&lt;="&amp;_xlpm.we),Table1[Date],Table1[Close],,0,-1))</f>
        <v>105.88</v>
      </c>
      <c r="F33" s="14">
        <f t="shared" si="2"/>
        <v>5.2589720648175575E-2</v>
      </c>
      <c r="G33" s="13">
        <f>_xlfn.LET(_xlpm.ws,$J33,_xlpm.we,_xlpm.ws+6,_xlfn.MAXIFS(Table1[High],Table1[Date],"&gt;="&amp;_xlpm.ws,Table1[Date],"&lt;="&amp;_xlpm.we))</f>
        <v>106.84</v>
      </c>
      <c r="H33" s="13">
        <f>_xlfn.LET(_xlpm.ws,$J33,_xlpm.we,_xlpm.ws+6,_xlfn.MINIFS(Table1[Low],Table1[Date],"&gt;="&amp;_xlpm.ws,Table1[Date],"&lt;="&amp;_xlpm.we))</f>
        <v>96.75</v>
      </c>
      <c r="I33" s="12" cm="1">
        <f t="array" ref="I33">_xlfn.LET(_xlpm.ws,$J33,_xlpm.we,_xlpm.ws+6,C33/ROWS(_xlfn.UNIQUE(_xlfn._xlws.FILTER(Table1[Date],(Table1[Date]&gt;=_xlpm.ws)*(Table1[Date]&lt;=_xlpm.we)))))</f>
        <v>503370.4</v>
      </c>
      <c r="J33" s="4">
        <f t="shared" ref="J33:J40" si="3">J32+7</f>
        <v>46216</v>
      </c>
      <c r="K33" s="19"/>
      <c r="L33" s="19"/>
    </row>
    <row r="34" spans="1:12" ht="22" customHeight="1" x14ac:dyDescent="0.35">
      <c r="A34" s="11" t="str">
        <f t="shared" si="0"/>
        <v>20 Jul – 26 Jul</v>
      </c>
      <c r="B34" s="11" t="str">
        <f t="shared" si="1"/>
        <v>Loss</v>
      </c>
      <c r="C34" s="12">
        <f>_xlfn.LET(_xlpm.ws,$J34,_xlpm.we,_xlpm.ws+6,SUMIFS(Table1[Volume],Table1[Date],"&gt;="&amp;_xlpm.ws,Table1[Date],"&lt;="&amp;_xlpm.we))</f>
        <v>2778758</v>
      </c>
      <c r="D34" s="13">
        <f>_xlfn.LET(_xlpm.ws,$J34,_xlpm.we,_xlpm.ws+6,_xlfn.XLOOKUP(_xlfn.MINIFS(Table1[Date],Table1[Date],"&gt;="&amp;_xlpm.ws,Table1[Date],"&lt;="&amp;_xlpm.we),Table1[Date],Table1[Open]))</f>
        <v>105.88</v>
      </c>
      <c r="E34" s="13">
        <f>_xlfn.LET(_xlpm.ws,$J34,_xlpm.we,_xlpm.ws+6,_xlfn.XLOOKUP(_xlfn.MAXIFS(Table1[Date],Table1[Date],"&gt;="&amp;_xlpm.ws,Table1[Date],"&lt;="&amp;_xlpm.we),Table1[Date],Table1[Close],,0,-1))</f>
        <v>104.29</v>
      </c>
      <c r="F34" s="14">
        <f t="shared" si="2"/>
        <v>-1.5017000377786083E-2</v>
      </c>
      <c r="G34" s="13">
        <f>_xlfn.LET(_xlpm.ws,$J34,_xlpm.we,_xlpm.ws+6,_xlfn.MAXIFS(Table1[High],Table1[Date],"&gt;="&amp;_xlpm.ws,Table1[Date],"&lt;="&amp;_xlpm.we))</f>
        <v>106.91</v>
      </c>
      <c r="H34" s="13">
        <f>_xlfn.LET(_xlpm.ws,$J34,_xlpm.we,_xlpm.ws+6,_xlfn.MINIFS(Table1[Low],Table1[Date],"&gt;="&amp;_xlpm.ws,Table1[Date],"&lt;="&amp;_xlpm.we))</f>
        <v>100.23</v>
      </c>
      <c r="I34" s="12" cm="1">
        <f t="array" ref="I34">_xlfn.LET(_xlpm.ws,$J34,_xlpm.we,_xlpm.ws+6,C34/ROWS(_xlfn.UNIQUE(_xlfn._xlws.FILTER(Table1[Date],(Table1[Date]&gt;=_xlpm.ws)*(Table1[Date]&lt;=_xlpm.we)))))</f>
        <v>555751.6</v>
      </c>
      <c r="J34" s="4">
        <f t="shared" si="3"/>
        <v>46223</v>
      </c>
      <c r="K34" s="19"/>
      <c r="L34" s="19"/>
    </row>
    <row r="35" spans="1:12" ht="22" customHeight="1" x14ac:dyDescent="0.35">
      <c r="A35" s="11" t="str">
        <f t="shared" si="0"/>
        <v>27 Jul – 02 Aug</v>
      </c>
      <c r="B35" s="11" t="str">
        <f t="shared" si="1"/>
        <v>Gain</v>
      </c>
      <c r="C35" s="12">
        <f>_xlfn.LET(_xlpm.ws,$J35,_xlpm.we,_xlpm.ws+6,SUMIFS(Table1[Volume],Table1[Date],"&gt;="&amp;_xlpm.ws,Table1[Date],"&lt;="&amp;_xlpm.we))</f>
        <v>1692709</v>
      </c>
      <c r="D35" s="13">
        <f>_xlfn.LET(_xlpm.ws,$J35,_xlpm.we,_xlpm.ws+6,_xlfn.XLOOKUP(_xlfn.MINIFS(Table1[Date],Table1[Date],"&gt;="&amp;_xlpm.ws,Table1[Date],"&lt;="&amp;_xlpm.we),Table1[Date],Table1[Open]))</f>
        <v>104.29</v>
      </c>
      <c r="E35" s="13">
        <f>_xlfn.LET(_xlpm.ws,$J35,_xlpm.we,_xlpm.ws+6,_xlfn.XLOOKUP(_xlfn.MAXIFS(Table1[Date],Table1[Date],"&gt;="&amp;_xlpm.ws,Table1[Date],"&lt;="&amp;_xlpm.we),Table1[Date],Table1[Close],,0,-1))</f>
        <v>110.61</v>
      </c>
      <c r="F35" s="14">
        <f t="shared" si="2"/>
        <v>6.0600249304822995E-2</v>
      </c>
      <c r="G35" s="13">
        <f>_xlfn.LET(_xlpm.ws,$J35,_xlpm.we,_xlpm.ws+6,_xlfn.MAXIFS(Table1[High],Table1[Date],"&gt;="&amp;_xlpm.ws,Table1[Date],"&lt;="&amp;_xlpm.we))</f>
        <v>113.03</v>
      </c>
      <c r="H35" s="13">
        <f>_xlfn.LET(_xlpm.ws,$J35,_xlpm.we,_xlpm.ws+6,_xlfn.MINIFS(Table1[Low],Table1[Date],"&gt;="&amp;_xlpm.ws,Table1[Date],"&lt;="&amp;_xlpm.we))</f>
        <v>102.06</v>
      </c>
      <c r="I35" s="12" cm="1">
        <f t="array" ref="I35">_xlfn.LET(_xlpm.ws,$J35,_xlpm.we,_xlpm.ws+6,C35/ROWS(_xlfn.UNIQUE(_xlfn._xlws.FILTER(Table1[Date],(Table1[Date]&gt;=_xlpm.ws)*(Table1[Date]&lt;=_xlpm.we)))))</f>
        <v>338541.8</v>
      </c>
      <c r="J35" s="4">
        <f t="shared" si="3"/>
        <v>46230</v>
      </c>
      <c r="K35" s="19"/>
      <c r="L35" s="19"/>
    </row>
    <row r="36" spans="1:12" x14ac:dyDescent="0.35">
      <c r="A36" s="11" t="str">
        <f t="shared" si="0"/>
        <v>03 Aug – 09 Aug</v>
      </c>
      <c r="B36" s="11" t="str">
        <f t="shared" si="1"/>
        <v>Gain</v>
      </c>
      <c r="C36" s="12">
        <f>_xlfn.LET(_xlpm.ws,$J36,_xlpm.we,_xlpm.ws+6,SUMIFS(Table1[Volume],Table1[Date],"&gt;="&amp;_xlpm.ws,Table1[Date],"&lt;="&amp;_xlpm.we))</f>
        <v>3316076</v>
      </c>
      <c r="D36" s="13">
        <f>_xlfn.LET(_xlpm.ws,$J36,_xlpm.we,_xlpm.ws+6,_xlfn.XLOOKUP(_xlfn.MINIFS(Table1[Date],Table1[Date],"&gt;="&amp;_xlpm.ws,Table1[Date],"&lt;="&amp;_xlpm.we),Table1[Date],Table1[Open]))</f>
        <v>110.61</v>
      </c>
      <c r="E36" s="13">
        <f>_xlfn.LET(_xlpm.ws,$J36,_xlpm.we,_xlpm.ws+6,_xlfn.XLOOKUP(_xlfn.MAXIFS(Table1[Date],Table1[Date],"&gt;="&amp;_xlpm.ws,Table1[Date],"&lt;="&amp;_xlpm.we),Table1[Date],Table1[Close],,0,-1))</f>
        <v>114.61</v>
      </c>
      <c r="F36" s="14">
        <f t="shared" si="2"/>
        <v>3.6163095560979963E-2</v>
      </c>
      <c r="G36" s="13">
        <f>_xlfn.LET(_xlpm.ws,$J36,_xlpm.we,_xlpm.ws+6,_xlfn.MAXIFS(Table1[High],Table1[Date],"&gt;="&amp;_xlpm.ws,Table1[Date],"&lt;="&amp;_xlpm.we))</f>
        <v>116.09</v>
      </c>
      <c r="H36" s="13">
        <f>_xlfn.LET(_xlpm.ws,$J36,_xlpm.we,_xlpm.ws+6,_xlfn.MINIFS(Table1[Low],Table1[Date],"&gt;="&amp;_xlpm.ws,Table1[Date],"&lt;="&amp;_xlpm.we))</f>
        <v>107.86</v>
      </c>
      <c r="I36" s="12" cm="1">
        <f t="array" ref="I36">_xlfn.LET(_xlpm.ws,$J36,_xlpm.we,_xlpm.ws+6,C36/ROWS(_xlfn.UNIQUE(_xlfn._xlws.FILTER(Table1[Date],(Table1[Date]&gt;=_xlpm.ws)*(Table1[Date]&lt;=_xlpm.we)))))</f>
        <v>663215.19999999995</v>
      </c>
      <c r="J36" s="4">
        <f t="shared" si="3"/>
        <v>46237</v>
      </c>
      <c r="K36" s="4"/>
      <c r="L36" s="4"/>
    </row>
    <row r="37" spans="1:12" x14ac:dyDescent="0.35">
      <c r="A37" s="11" t="str">
        <f t="shared" si="0"/>
        <v>10 Aug – 16 Aug</v>
      </c>
      <c r="B37" s="11" t="str">
        <f t="shared" si="1"/>
        <v>Gain</v>
      </c>
      <c r="C37" s="12">
        <f>_xlfn.LET(_xlpm.ws,$J37,_xlpm.we,_xlpm.ws+6,SUMIFS(Table1[Volume],Table1[Date],"&gt;="&amp;_xlpm.ws,Table1[Date],"&lt;="&amp;_xlpm.we))</f>
        <v>2699117</v>
      </c>
      <c r="D37" s="13">
        <f>_xlfn.LET(_xlpm.ws,$J37,_xlpm.we,_xlpm.ws+6,_xlfn.XLOOKUP(_xlfn.MINIFS(Table1[Date],Table1[Date],"&gt;="&amp;_xlpm.ws,Table1[Date],"&lt;="&amp;_xlpm.we),Table1[Date],Table1[Open]))</f>
        <v>114.61</v>
      </c>
      <c r="E37" s="13">
        <f>_xlfn.LET(_xlpm.ws,$J37,_xlpm.we,_xlpm.ws+6,_xlfn.XLOOKUP(_xlfn.MAXIFS(Table1[Date],Table1[Date],"&gt;="&amp;_xlpm.ws,Table1[Date],"&lt;="&amp;_xlpm.we),Table1[Date],Table1[Close],,0,-1))</f>
        <v>122.53</v>
      </c>
      <c r="F37" s="14">
        <f t="shared" si="2"/>
        <v>6.9103917633714262E-2</v>
      </c>
      <c r="G37" s="13">
        <f>_xlfn.LET(_xlpm.ws,$J37,_xlpm.we,_xlpm.ws+6,_xlfn.MAXIFS(Table1[High],Table1[Date],"&gt;="&amp;_xlpm.ws,Table1[Date],"&lt;="&amp;_xlpm.we))</f>
        <v>123.88</v>
      </c>
      <c r="H37" s="13">
        <f>_xlfn.LET(_xlpm.ws,$J37,_xlpm.we,_xlpm.ws+6,_xlfn.MINIFS(Table1[Low],Table1[Date],"&gt;="&amp;_xlpm.ws,Table1[Date],"&lt;="&amp;_xlpm.we))</f>
        <v>111.68</v>
      </c>
      <c r="I37" s="12" cm="1">
        <f t="array" ref="I37">_xlfn.LET(_xlpm.ws,$J37,_xlpm.we,_xlpm.ws+6,C37/ROWS(_xlfn.UNIQUE(_xlfn._xlws.FILTER(Table1[Date],(Table1[Date]&gt;=_xlpm.ws)*(Table1[Date]&lt;=_xlpm.we)))))</f>
        <v>539823.4</v>
      </c>
      <c r="J37" s="4">
        <f t="shared" si="3"/>
        <v>46244</v>
      </c>
      <c r="K37" s="4"/>
      <c r="L37" s="4"/>
    </row>
    <row r="38" spans="1:12" x14ac:dyDescent="0.35">
      <c r="A38" s="11" t="str">
        <f t="shared" si="0"/>
        <v>17 Aug – 23 Aug</v>
      </c>
      <c r="B38" s="11" t="str">
        <f t="shared" si="1"/>
        <v>Gain</v>
      </c>
      <c r="C38" s="12">
        <f>_xlfn.LET(_xlpm.ws,$J38,_xlpm.we,_xlpm.ws+6,SUMIFS(Table1[Volume],Table1[Date],"&gt;="&amp;_xlpm.ws,Table1[Date],"&lt;="&amp;_xlpm.we))</f>
        <v>2506578</v>
      </c>
      <c r="D38" s="13">
        <f>_xlfn.LET(_xlpm.ws,$J38,_xlpm.we,_xlpm.ws+6,_xlfn.XLOOKUP(_xlfn.MINIFS(Table1[Date],Table1[Date],"&gt;="&amp;_xlpm.ws,Table1[Date],"&lt;="&amp;_xlpm.we),Table1[Date],Table1[Open]))</f>
        <v>122.53</v>
      </c>
      <c r="E38" s="13">
        <f>_xlfn.LET(_xlpm.ws,$J38,_xlpm.we,_xlpm.ws+6,_xlfn.XLOOKUP(_xlfn.MAXIFS(Table1[Date],Table1[Date],"&gt;="&amp;_xlpm.ws,Table1[Date],"&lt;="&amp;_xlpm.we),Table1[Date],Table1[Close],,0,-1))</f>
        <v>133.88999999999999</v>
      </c>
      <c r="F38" s="14">
        <f t="shared" si="2"/>
        <v>9.2711988900677333E-2</v>
      </c>
      <c r="G38" s="13">
        <f>_xlfn.LET(_xlpm.ws,$J38,_xlpm.we,_xlpm.ws+6,_xlfn.MAXIFS(Table1[High],Table1[Date],"&gt;="&amp;_xlpm.ws,Table1[Date],"&lt;="&amp;_xlpm.we))</f>
        <v>136.62</v>
      </c>
      <c r="H38" s="13">
        <f>_xlfn.LET(_xlpm.ws,$J38,_xlpm.we,_xlpm.ws+6,_xlfn.MINIFS(Table1[Low],Table1[Date],"&gt;="&amp;_xlpm.ws,Table1[Date],"&lt;="&amp;_xlpm.we))</f>
        <v>120.06</v>
      </c>
      <c r="I38" s="12" cm="1">
        <f t="array" ref="I38">_xlfn.LET(_xlpm.ws,$J38,_xlpm.we,_xlpm.ws+6,C38/ROWS(_xlfn.UNIQUE(_xlfn._xlws.FILTER(Table1[Date],(Table1[Date]&gt;=_xlpm.ws)*(Table1[Date]&lt;=_xlpm.we)))))</f>
        <v>501315.6</v>
      </c>
      <c r="J38" s="4">
        <f t="shared" si="3"/>
        <v>46251</v>
      </c>
      <c r="K38" s="4"/>
      <c r="L38" s="4"/>
    </row>
    <row r="39" spans="1:12" x14ac:dyDescent="0.35">
      <c r="A39" s="11" t="str">
        <f t="shared" si="0"/>
        <v>24 Aug – 30 Aug</v>
      </c>
      <c r="B39" s="11" t="str">
        <f t="shared" si="1"/>
        <v>Loss</v>
      </c>
      <c r="C39" s="12">
        <f>_xlfn.LET(_xlpm.ws,$J39,_xlpm.we,_xlpm.ws+6,SUMIFS(Table1[Volume],Table1[Date],"&gt;="&amp;_xlpm.ws,Table1[Date],"&lt;="&amp;_xlpm.we))</f>
        <v>3498235</v>
      </c>
      <c r="D39" s="13">
        <f>_xlfn.LET(_xlpm.ws,$J39,_xlpm.we,_xlpm.ws+6,_xlfn.XLOOKUP(_xlfn.MINIFS(Table1[Date],Table1[Date],"&gt;="&amp;_xlpm.ws,Table1[Date],"&lt;="&amp;_xlpm.we),Table1[Date],Table1[Open]))</f>
        <v>133.88999999999999</v>
      </c>
      <c r="E39" s="13">
        <f>_xlfn.LET(_xlpm.ws,$J39,_xlpm.we,_xlpm.ws+6,_xlfn.XLOOKUP(_xlfn.MAXIFS(Table1[Date],Table1[Date],"&gt;="&amp;_xlpm.ws,Table1[Date],"&lt;="&amp;_xlpm.we),Table1[Date],Table1[Close],,0,-1))</f>
        <v>132.97999999999999</v>
      </c>
      <c r="F39" s="14">
        <f t="shared" si="2"/>
        <v>-6.7966240944058454E-3</v>
      </c>
      <c r="G39" s="13">
        <f>_xlfn.LET(_xlpm.ws,$J39,_xlpm.we,_xlpm.ws+6,_xlfn.MAXIFS(Table1[High],Table1[Date],"&gt;="&amp;_xlpm.ws,Table1[Date],"&lt;="&amp;_xlpm.we))</f>
        <v>137.53</v>
      </c>
      <c r="H39" s="13">
        <f>_xlfn.LET(_xlpm.ws,$J39,_xlpm.we,_xlpm.ws+6,_xlfn.MINIFS(Table1[Low],Table1[Date],"&gt;="&amp;_xlpm.ws,Table1[Date],"&lt;="&amp;_xlpm.we))</f>
        <v>127.61</v>
      </c>
      <c r="I39" s="12" cm="1">
        <f t="array" ref="I39">_xlfn.LET(_xlpm.ws,$J39,_xlpm.we,_xlpm.ws+6,C39/ROWS(_xlfn.UNIQUE(_xlfn._xlws.FILTER(Table1[Date],(Table1[Date]&gt;=_xlpm.ws)*(Table1[Date]&lt;=_xlpm.we)))))</f>
        <v>699647</v>
      </c>
      <c r="J39" s="4">
        <f t="shared" si="3"/>
        <v>46258</v>
      </c>
      <c r="K39" s="4"/>
      <c r="L39" s="4"/>
    </row>
    <row r="40" spans="1:12" x14ac:dyDescent="0.35">
      <c r="A40" s="11" t="str">
        <f t="shared" si="0"/>
        <v>31 Aug – 06 Sep</v>
      </c>
      <c r="B40" s="11" t="str">
        <f t="shared" si="1"/>
        <v>Loss</v>
      </c>
      <c r="C40" s="12">
        <f>_xlfn.LET(_xlpm.ws,$J40,_xlpm.we,_xlpm.ws+6,SUMIFS(Table1[Volume],Table1[Date],"&gt;="&amp;_xlpm.ws,Table1[Date],"&lt;="&amp;_xlpm.we))</f>
        <v>411105</v>
      </c>
      <c r="D40" s="13">
        <f>_xlfn.LET(_xlpm.ws,$J40,_xlpm.we,_xlpm.ws+6,_xlfn.XLOOKUP(_xlfn.MINIFS(Table1[Date],Table1[Date],"&gt;="&amp;_xlpm.ws,Table1[Date],"&lt;="&amp;_xlpm.we),Table1[Date],Table1[Open]))</f>
        <v>132.97999999999999</v>
      </c>
      <c r="E40" s="13">
        <f>_xlfn.LET(_xlpm.ws,$J40,_xlpm.we,_xlpm.ws+6,_xlfn.XLOOKUP(_xlfn.MAXIFS(Table1[Date],Table1[Date],"&gt;="&amp;_xlpm.ws,Table1[Date],"&lt;="&amp;_xlpm.we),Table1[Date],Table1[Close],,0,-1))</f>
        <v>131.63999999999999</v>
      </c>
      <c r="F40" s="14">
        <f t="shared" si="2"/>
        <v>-1.0076703263648734E-2</v>
      </c>
      <c r="G40" s="13">
        <f>_xlfn.LET(_xlpm.ws,$J40,_xlpm.we,_xlpm.ws+6,_xlfn.MAXIFS(Table1[High],Table1[Date],"&gt;="&amp;_xlpm.ws,Table1[Date],"&lt;="&amp;_xlpm.we))</f>
        <v>133.97</v>
      </c>
      <c r="H40" s="13">
        <f>_xlfn.LET(_xlpm.ws,$J40,_xlpm.we,_xlpm.ws+6,_xlfn.MINIFS(Table1[Low],Table1[Date],"&gt;="&amp;_xlpm.ws,Table1[Date],"&lt;="&amp;_xlpm.we))</f>
        <v>129.94999999999999</v>
      </c>
      <c r="I40" s="12" cm="1">
        <f t="array" ref="I40">_xlfn.LET(_xlpm.ws,$J40,_xlpm.we,_xlpm.ws+6,C40/ROWS(_xlfn.UNIQUE(_xlfn._xlws.FILTER(Table1[Date],(Table1[Date]&gt;=_xlpm.ws)*(Table1[Date]&lt;=_xlpm.we)))))</f>
        <v>411105</v>
      </c>
      <c r="J40" s="4">
        <f t="shared" si="3"/>
        <v>46265</v>
      </c>
      <c r="K40" s="4"/>
      <c r="L40" s="4"/>
    </row>
    <row r="41" spans="1:12" ht="18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8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</sheetData>
  <mergeCells count="10">
    <mergeCell ref="A10:L10"/>
    <mergeCell ref="A29:I29"/>
    <mergeCell ref="K29:L29"/>
    <mergeCell ref="K32:L35"/>
    <mergeCell ref="A1:L2"/>
    <mergeCell ref="A3:L3"/>
    <mergeCell ref="A5:C8"/>
    <mergeCell ref="D5:F8"/>
    <mergeCell ref="G5:I8"/>
    <mergeCell ref="J5:L8"/>
  </mergeCells>
  <conditionalFormatting sqref="B31:B40">
    <cfRule type="expression" dxfId="3" priority="1">
      <formula>$B31="Gain"</formula>
    </cfRule>
  </conditionalFormatting>
  <conditionalFormatting sqref="B31:B40">
    <cfRule type="expression" dxfId="2" priority="2">
      <formula>$B31="Loss"</formula>
    </cfRule>
  </conditionalFormatting>
  <conditionalFormatting sqref="F31:F40">
    <cfRule type="expression" dxfId="1" priority="3">
      <formula>$F31&gt;0</formula>
    </cfRule>
  </conditionalFormatting>
  <conditionalFormatting sqref="F31:F40">
    <cfRule type="expression" dxfId="0" priority="4">
      <formula>$F31&lt;0</formula>
    </cfRule>
  </conditionalFormatting>
  <conditionalFormatting sqref="C31:C4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{C4B51574-A28A-4393-853C-8104AC04C3A4}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B51574-A28A-4393-853C-8104AC04C3A4}">
            <x14:dataBar minLength="0" maxLength="100" negativeBarColorSameAsPositive="1" axisPosition="none">
              <x14:cfvo type="min"/>
              <x14:cfvo type="max"/>
            </x14:dataBar>
          </x14:cfRule>
          <xm:sqref>C31:C40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A9FD0-0572-48DA-A1FD-7211C5E23CF7}">
  <dimension ref="A1:F61"/>
  <sheetViews>
    <sheetView workbookViewId="0">
      <selection activeCell="B8" sqref="B8"/>
    </sheetView>
  </sheetViews>
  <sheetFormatPr defaultRowHeight="14.5" x14ac:dyDescent="0.35"/>
  <cols>
    <col min="1" max="1" width="10.08984375" style="3" bestFit="1" customWidth="1"/>
    <col min="2" max="2" width="7.26953125" customWidth="1"/>
    <col min="3" max="4" width="6.81640625" bestFit="1" customWidth="1"/>
    <col min="5" max="5" width="7.54296875" customWidth="1"/>
    <col min="6" max="6" width="9.1796875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>
        <v>46204</v>
      </c>
      <c r="B2">
        <v>100</v>
      </c>
      <c r="C2">
        <v>101.11</v>
      </c>
      <c r="D2">
        <v>99.05</v>
      </c>
      <c r="E2">
        <v>100.06</v>
      </c>
      <c r="F2">
        <v>367524</v>
      </c>
    </row>
    <row r="3" spans="1:6" x14ac:dyDescent="0.35">
      <c r="A3" s="3">
        <v>46205</v>
      </c>
      <c r="B3">
        <v>100.06</v>
      </c>
      <c r="C3">
        <v>101.92</v>
      </c>
      <c r="D3">
        <v>97.78</v>
      </c>
      <c r="E3">
        <v>100.07</v>
      </c>
      <c r="F3">
        <v>148814</v>
      </c>
    </row>
    <row r="4" spans="1:6" x14ac:dyDescent="0.35">
      <c r="A4" s="3">
        <v>46206</v>
      </c>
      <c r="B4">
        <v>100.07</v>
      </c>
      <c r="C4">
        <v>101</v>
      </c>
      <c r="D4">
        <v>98.47</v>
      </c>
      <c r="E4">
        <v>99.98</v>
      </c>
      <c r="F4">
        <v>130917</v>
      </c>
    </row>
    <row r="5" spans="1:6" x14ac:dyDescent="0.35">
      <c r="A5" s="3">
        <v>46209</v>
      </c>
      <c r="B5">
        <v>99.98</v>
      </c>
      <c r="C5">
        <v>101.46</v>
      </c>
      <c r="D5">
        <v>98.18</v>
      </c>
      <c r="E5">
        <v>100.56</v>
      </c>
      <c r="F5">
        <v>334717</v>
      </c>
    </row>
    <row r="6" spans="1:6" x14ac:dyDescent="0.35">
      <c r="A6" s="3">
        <v>46209</v>
      </c>
      <c r="B6">
        <v>100.56</v>
      </c>
      <c r="C6">
        <v>103.53</v>
      </c>
      <c r="D6">
        <v>100.05</v>
      </c>
      <c r="E6">
        <v>101.41</v>
      </c>
      <c r="F6">
        <v>450962</v>
      </c>
    </row>
    <row r="7" spans="1:6" x14ac:dyDescent="0.35">
      <c r="A7" s="3">
        <v>46209</v>
      </c>
      <c r="B7">
        <v>101.41</v>
      </c>
      <c r="C7">
        <v>106.27</v>
      </c>
      <c r="D7">
        <v>100.23</v>
      </c>
      <c r="E7">
        <v>104.38</v>
      </c>
      <c r="F7">
        <v>273139</v>
      </c>
    </row>
    <row r="8" spans="1:6" x14ac:dyDescent="0.35">
      <c r="A8" s="3">
        <v>46210</v>
      </c>
      <c r="B8">
        <v>104.38</v>
      </c>
      <c r="C8">
        <v>107.16</v>
      </c>
      <c r="D8">
        <v>103.69</v>
      </c>
      <c r="E8">
        <v>106.48</v>
      </c>
      <c r="F8">
        <v>567280</v>
      </c>
    </row>
    <row r="9" spans="1:6" x14ac:dyDescent="0.35">
      <c r="A9" s="3">
        <v>46211</v>
      </c>
      <c r="B9">
        <v>106.48</v>
      </c>
      <c r="C9">
        <v>108.18</v>
      </c>
      <c r="D9">
        <v>104.23</v>
      </c>
      <c r="E9">
        <v>106.34</v>
      </c>
      <c r="F9">
        <v>370283</v>
      </c>
    </row>
    <row r="10" spans="1:6" x14ac:dyDescent="0.35">
      <c r="A10" s="3">
        <v>46212</v>
      </c>
      <c r="B10">
        <v>106.34</v>
      </c>
      <c r="C10">
        <v>107.6</v>
      </c>
      <c r="D10">
        <v>99.85</v>
      </c>
      <c r="E10">
        <v>101.45</v>
      </c>
      <c r="F10">
        <v>778737</v>
      </c>
    </row>
    <row r="11" spans="1:6" x14ac:dyDescent="0.35">
      <c r="A11" s="3">
        <v>46213</v>
      </c>
      <c r="B11">
        <v>101.45</v>
      </c>
      <c r="C11">
        <v>103.19</v>
      </c>
      <c r="D11">
        <v>98.37</v>
      </c>
      <c r="E11">
        <v>100.59</v>
      </c>
      <c r="F11">
        <v>364171</v>
      </c>
    </row>
    <row r="12" spans="1:6" x14ac:dyDescent="0.35">
      <c r="A12" s="3">
        <v>46216</v>
      </c>
      <c r="B12">
        <v>100.59</v>
      </c>
      <c r="C12">
        <v>101.72</v>
      </c>
      <c r="D12">
        <v>99.51</v>
      </c>
      <c r="E12">
        <v>100.77</v>
      </c>
      <c r="F12">
        <v>151526</v>
      </c>
    </row>
    <row r="13" spans="1:6" x14ac:dyDescent="0.35">
      <c r="A13" s="3">
        <v>46216</v>
      </c>
      <c r="B13">
        <v>100.77</v>
      </c>
      <c r="C13">
        <v>101.73</v>
      </c>
      <c r="D13">
        <v>99.83</v>
      </c>
      <c r="E13">
        <v>100.53</v>
      </c>
      <c r="F13">
        <v>221801</v>
      </c>
    </row>
    <row r="14" spans="1:6" x14ac:dyDescent="0.35">
      <c r="A14" s="3">
        <v>46216</v>
      </c>
      <c r="B14">
        <v>100.53</v>
      </c>
      <c r="C14">
        <v>101.77</v>
      </c>
      <c r="D14">
        <v>98.71</v>
      </c>
      <c r="E14">
        <v>99.63</v>
      </c>
      <c r="F14">
        <v>245726</v>
      </c>
    </row>
    <row r="15" spans="1:6" x14ac:dyDescent="0.35">
      <c r="A15" s="3">
        <v>46217</v>
      </c>
      <c r="B15">
        <v>99.63</v>
      </c>
      <c r="C15">
        <v>102</v>
      </c>
      <c r="D15">
        <v>96.75</v>
      </c>
      <c r="E15">
        <v>98.54</v>
      </c>
      <c r="F15">
        <v>390656</v>
      </c>
    </row>
    <row r="16" spans="1:6" x14ac:dyDescent="0.35">
      <c r="A16" s="3">
        <v>46218</v>
      </c>
      <c r="B16">
        <v>98.54</v>
      </c>
      <c r="C16">
        <v>101.26</v>
      </c>
      <c r="D16">
        <v>97.28</v>
      </c>
      <c r="E16">
        <v>100.43</v>
      </c>
      <c r="F16">
        <v>615063</v>
      </c>
    </row>
    <row r="17" spans="1:6" x14ac:dyDescent="0.35">
      <c r="A17" s="3">
        <v>46219</v>
      </c>
      <c r="B17">
        <v>100.43</v>
      </c>
      <c r="C17">
        <v>105.4</v>
      </c>
      <c r="D17">
        <v>98.81</v>
      </c>
      <c r="E17">
        <v>103.62</v>
      </c>
      <c r="F17">
        <v>566877</v>
      </c>
    </row>
    <row r="18" spans="1:6" x14ac:dyDescent="0.35">
      <c r="A18" s="3">
        <v>46220</v>
      </c>
      <c r="B18">
        <v>103.62</v>
      </c>
      <c r="C18">
        <v>106.84</v>
      </c>
      <c r="D18">
        <v>103.06</v>
      </c>
      <c r="E18">
        <v>105.88</v>
      </c>
      <c r="F18">
        <v>325203</v>
      </c>
    </row>
    <row r="19" spans="1:6" x14ac:dyDescent="0.35">
      <c r="A19" s="3">
        <v>46223</v>
      </c>
      <c r="B19">
        <v>105.88</v>
      </c>
      <c r="C19">
        <v>106.91</v>
      </c>
      <c r="D19">
        <v>102.42</v>
      </c>
      <c r="E19">
        <v>103.34</v>
      </c>
      <c r="F19">
        <v>649961</v>
      </c>
    </row>
    <row r="20" spans="1:6" x14ac:dyDescent="0.35">
      <c r="A20" s="3">
        <v>46223</v>
      </c>
      <c r="B20">
        <v>103.34</v>
      </c>
      <c r="C20">
        <v>106.74</v>
      </c>
      <c r="D20">
        <v>102.05</v>
      </c>
      <c r="E20">
        <v>104.93</v>
      </c>
      <c r="F20">
        <v>555927</v>
      </c>
    </row>
    <row r="21" spans="1:6" x14ac:dyDescent="0.35">
      <c r="A21" s="3">
        <v>46223</v>
      </c>
      <c r="B21">
        <v>104.93</v>
      </c>
      <c r="C21">
        <v>106.35</v>
      </c>
      <c r="D21">
        <v>103.03</v>
      </c>
      <c r="E21">
        <v>104.06</v>
      </c>
      <c r="F21">
        <v>236380</v>
      </c>
    </row>
    <row r="22" spans="1:6" x14ac:dyDescent="0.35">
      <c r="A22" s="3">
        <v>46224</v>
      </c>
      <c r="B22">
        <v>104.06</v>
      </c>
      <c r="C22">
        <v>105.73</v>
      </c>
      <c r="D22">
        <v>100.67</v>
      </c>
      <c r="E22">
        <v>102.96</v>
      </c>
      <c r="F22">
        <v>307043</v>
      </c>
    </row>
    <row r="23" spans="1:6" x14ac:dyDescent="0.35">
      <c r="A23" s="3">
        <v>46225</v>
      </c>
      <c r="B23">
        <v>102.96</v>
      </c>
      <c r="C23">
        <v>103.9</v>
      </c>
      <c r="D23">
        <v>100.23</v>
      </c>
      <c r="E23">
        <v>102.73</v>
      </c>
      <c r="F23">
        <v>301819</v>
      </c>
    </row>
    <row r="24" spans="1:6" x14ac:dyDescent="0.35">
      <c r="A24" s="3">
        <v>46226</v>
      </c>
      <c r="B24">
        <v>102.73</v>
      </c>
      <c r="C24">
        <v>104.32</v>
      </c>
      <c r="D24">
        <v>100.97</v>
      </c>
      <c r="E24">
        <v>103.6</v>
      </c>
      <c r="F24">
        <v>447955</v>
      </c>
    </row>
    <row r="25" spans="1:6" x14ac:dyDescent="0.35">
      <c r="A25" s="3">
        <v>46227</v>
      </c>
      <c r="B25">
        <v>103.6</v>
      </c>
      <c r="C25">
        <v>105.63</v>
      </c>
      <c r="D25">
        <v>102.97</v>
      </c>
      <c r="E25">
        <v>104.29</v>
      </c>
      <c r="F25">
        <v>279673</v>
      </c>
    </row>
    <row r="26" spans="1:6" x14ac:dyDescent="0.35">
      <c r="A26" s="3">
        <v>46230</v>
      </c>
      <c r="B26">
        <v>104.29</v>
      </c>
      <c r="C26">
        <v>109.53</v>
      </c>
      <c r="D26">
        <v>102.06</v>
      </c>
      <c r="E26">
        <v>107.09</v>
      </c>
      <c r="F26">
        <v>193206</v>
      </c>
    </row>
    <row r="27" spans="1:6" x14ac:dyDescent="0.35">
      <c r="A27" s="3">
        <v>46230</v>
      </c>
      <c r="B27">
        <v>107.09</v>
      </c>
      <c r="C27">
        <v>109.32</v>
      </c>
      <c r="D27">
        <v>105.23</v>
      </c>
      <c r="E27">
        <v>107.38</v>
      </c>
      <c r="F27">
        <v>314448</v>
      </c>
    </row>
    <row r="28" spans="1:6" x14ac:dyDescent="0.35">
      <c r="A28" s="3">
        <v>46230</v>
      </c>
      <c r="B28">
        <v>107.38</v>
      </c>
      <c r="C28">
        <v>108.15</v>
      </c>
      <c r="D28">
        <v>106.01</v>
      </c>
      <c r="E28">
        <v>107.43</v>
      </c>
      <c r="F28">
        <v>272314</v>
      </c>
    </row>
    <row r="29" spans="1:6" x14ac:dyDescent="0.35">
      <c r="A29" s="3">
        <v>46231</v>
      </c>
      <c r="B29">
        <v>107.43</v>
      </c>
      <c r="C29">
        <v>113.03</v>
      </c>
      <c r="D29">
        <v>105.18</v>
      </c>
      <c r="E29">
        <v>110.62</v>
      </c>
      <c r="F29">
        <v>339207</v>
      </c>
    </row>
    <row r="30" spans="1:6" x14ac:dyDescent="0.35">
      <c r="A30" s="3">
        <v>46232</v>
      </c>
      <c r="B30">
        <v>110.62</v>
      </c>
      <c r="C30">
        <v>112.95</v>
      </c>
      <c r="D30">
        <v>107.48</v>
      </c>
      <c r="E30">
        <v>109.72</v>
      </c>
      <c r="F30">
        <v>258022</v>
      </c>
    </row>
    <row r="31" spans="1:6" x14ac:dyDescent="0.35">
      <c r="A31" s="3">
        <v>46233</v>
      </c>
      <c r="B31">
        <v>109.72</v>
      </c>
      <c r="C31">
        <v>111.84</v>
      </c>
      <c r="D31">
        <v>108</v>
      </c>
      <c r="E31">
        <v>110.07</v>
      </c>
      <c r="F31">
        <v>182210</v>
      </c>
    </row>
    <row r="32" spans="1:6" x14ac:dyDescent="0.35">
      <c r="A32" s="3">
        <v>46234</v>
      </c>
      <c r="B32">
        <v>110.07</v>
      </c>
      <c r="C32">
        <v>112.67</v>
      </c>
      <c r="D32">
        <v>108.5</v>
      </c>
      <c r="E32">
        <v>110.61</v>
      </c>
      <c r="F32">
        <v>133302</v>
      </c>
    </row>
    <row r="33" spans="1:6" x14ac:dyDescent="0.35">
      <c r="A33" s="3">
        <v>46237</v>
      </c>
      <c r="B33">
        <v>110.61</v>
      </c>
      <c r="C33">
        <v>111.76</v>
      </c>
      <c r="D33">
        <v>107.94</v>
      </c>
      <c r="E33">
        <v>108.48</v>
      </c>
      <c r="F33">
        <v>608555</v>
      </c>
    </row>
    <row r="34" spans="1:6" x14ac:dyDescent="0.35">
      <c r="A34" s="3">
        <v>46237</v>
      </c>
      <c r="B34">
        <v>108.48</v>
      </c>
      <c r="C34">
        <v>112.67</v>
      </c>
      <c r="D34">
        <v>107.86</v>
      </c>
      <c r="E34">
        <v>111.56</v>
      </c>
      <c r="F34">
        <v>662257</v>
      </c>
    </row>
    <row r="35" spans="1:6" x14ac:dyDescent="0.35">
      <c r="A35" s="3">
        <v>46237</v>
      </c>
      <c r="B35">
        <v>111.56</v>
      </c>
      <c r="C35">
        <v>113.95</v>
      </c>
      <c r="D35">
        <v>108.63</v>
      </c>
      <c r="E35">
        <v>109.3</v>
      </c>
      <c r="F35">
        <v>406912</v>
      </c>
    </row>
    <row r="36" spans="1:6" x14ac:dyDescent="0.35">
      <c r="A36" s="3">
        <v>46238</v>
      </c>
      <c r="B36">
        <v>109.3</v>
      </c>
      <c r="C36">
        <v>114.75</v>
      </c>
      <c r="D36">
        <v>108.55</v>
      </c>
      <c r="E36">
        <v>112.72</v>
      </c>
      <c r="F36">
        <v>466042</v>
      </c>
    </row>
    <row r="37" spans="1:6" x14ac:dyDescent="0.35">
      <c r="A37" s="3">
        <v>46239</v>
      </c>
      <c r="B37">
        <v>112.72</v>
      </c>
      <c r="C37">
        <v>116.09</v>
      </c>
      <c r="D37">
        <v>111.69</v>
      </c>
      <c r="E37">
        <v>114.5</v>
      </c>
      <c r="F37">
        <v>552689</v>
      </c>
    </row>
    <row r="38" spans="1:6" x14ac:dyDescent="0.35">
      <c r="A38" s="3">
        <v>46240</v>
      </c>
      <c r="B38">
        <v>114.5</v>
      </c>
      <c r="C38">
        <v>116.07</v>
      </c>
      <c r="D38">
        <v>111.66</v>
      </c>
      <c r="E38">
        <v>113.62</v>
      </c>
      <c r="F38">
        <v>218886</v>
      </c>
    </row>
    <row r="39" spans="1:6" x14ac:dyDescent="0.35">
      <c r="A39" s="3">
        <v>46241</v>
      </c>
      <c r="B39">
        <v>113.62</v>
      </c>
      <c r="C39">
        <v>115.74</v>
      </c>
      <c r="D39">
        <v>111.13</v>
      </c>
      <c r="E39">
        <v>114.61</v>
      </c>
      <c r="F39">
        <v>400735</v>
      </c>
    </row>
    <row r="40" spans="1:6" x14ac:dyDescent="0.35">
      <c r="A40" s="3">
        <v>46244</v>
      </c>
      <c r="B40">
        <v>114.61</v>
      </c>
      <c r="C40">
        <v>115.36</v>
      </c>
      <c r="D40">
        <v>111.78</v>
      </c>
      <c r="E40">
        <v>112.73</v>
      </c>
      <c r="F40">
        <v>318845</v>
      </c>
    </row>
    <row r="41" spans="1:6" x14ac:dyDescent="0.35">
      <c r="A41" s="3">
        <v>46244</v>
      </c>
      <c r="B41">
        <v>112.73</v>
      </c>
      <c r="C41">
        <v>115.67</v>
      </c>
      <c r="D41">
        <v>111.77</v>
      </c>
      <c r="E41">
        <v>114</v>
      </c>
      <c r="F41">
        <v>241444</v>
      </c>
    </row>
    <row r="42" spans="1:6" x14ac:dyDescent="0.35">
      <c r="A42" s="3">
        <v>46244</v>
      </c>
      <c r="B42">
        <v>114</v>
      </c>
      <c r="C42">
        <v>117.85</v>
      </c>
      <c r="D42">
        <v>111.68</v>
      </c>
      <c r="E42">
        <v>116.89</v>
      </c>
      <c r="F42">
        <v>637664</v>
      </c>
    </row>
    <row r="43" spans="1:6" x14ac:dyDescent="0.35">
      <c r="A43" s="3">
        <v>46245</v>
      </c>
      <c r="B43">
        <v>116.89</v>
      </c>
      <c r="C43">
        <v>119.1</v>
      </c>
      <c r="D43">
        <v>115.92</v>
      </c>
      <c r="E43">
        <v>118.46</v>
      </c>
      <c r="F43">
        <v>447662</v>
      </c>
    </row>
    <row r="44" spans="1:6" x14ac:dyDescent="0.35">
      <c r="A44" s="3">
        <v>46246</v>
      </c>
      <c r="B44">
        <v>118.46</v>
      </c>
      <c r="C44">
        <v>121.42</v>
      </c>
      <c r="D44">
        <v>116.82</v>
      </c>
      <c r="E44">
        <v>119.05</v>
      </c>
      <c r="F44">
        <v>308405</v>
      </c>
    </row>
    <row r="45" spans="1:6" x14ac:dyDescent="0.35">
      <c r="A45" s="3">
        <v>46247</v>
      </c>
      <c r="B45">
        <v>119.05</v>
      </c>
      <c r="C45">
        <v>122.51</v>
      </c>
      <c r="D45">
        <v>116.93</v>
      </c>
      <c r="E45">
        <v>120.44</v>
      </c>
      <c r="F45">
        <v>233617</v>
      </c>
    </row>
    <row r="46" spans="1:6" x14ac:dyDescent="0.35">
      <c r="A46" s="3">
        <v>46248</v>
      </c>
      <c r="B46">
        <v>120.44</v>
      </c>
      <c r="C46">
        <v>123.88</v>
      </c>
      <c r="D46">
        <v>119</v>
      </c>
      <c r="E46">
        <v>122.53</v>
      </c>
      <c r="F46">
        <v>511480</v>
      </c>
    </row>
    <row r="47" spans="1:6" x14ac:dyDescent="0.35">
      <c r="A47" s="3">
        <v>46251</v>
      </c>
      <c r="B47">
        <v>122.53</v>
      </c>
      <c r="C47">
        <v>125.94</v>
      </c>
      <c r="D47">
        <v>120.06</v>
      </c>
      <c r="E47">
        <v>124.1</v>
      </c>
      <c r="F47">
        <v>200207</v>
      </c>
    </row>
    <row r="48" spans="1:6" x14ac:dyDescent="0.35">
      <c r="A48" s="3">
        <v>46251</v>
      </c>
      <c r="B48">
        <v>124.1</v>
      </c>
      <c r="C48">
        <v>126.32</v>
      </c>
      <c r="D48">
        <v>121.96</v>
      </c>
      <c r="E48">
        <v>122.95</v>
      </c>
      <c r="F48">
        <v>224460</v>
      </c>
    </row>
    <row r="49" spans="1:6" x14ac:dyDescent="0.35">
      <c r="A49" s="3">
        <v>46251</v>
      </c>
      <c r="B49">
        <v>122.95</v>
      </c>
      <c r="C49">
        <v>125.75</v>
      </c>
      <c r="D49">
        <v>121.61</v>
      </c>
      <c r="E49">
        <v>124.35</v>
      </c>
      <c r="F49">
        <v>271083</v>
      </c>
    </row>
    <row r="50" spans="1:6" x14ac:dyDescent="0.35">
      <c r="A50" s="3">
        <v>46252</v>
      </c>
      <c r="B50">
        <v>124.35</v>
      </c>
      <c r="C50">
        <v>126.09</v>
      </c>
      <c r="D50">
        <v>122.13</v>
      </c>
      <c r="E50">
        <v>124.71</v>
      </c>
      <c r="F50">
        <v>323052</v>
      </c>
    </row>
    <row r="51" spans="1:6" x14ac:dyDescent="0.35">
      <c r="A51" s="3">
        <v>46253</v>
      </c>
      <c r="B51">
        <v>124.71</v>
      </c>
      <c r="C51">
        <v>130.19</v>
      </c>
      <c r="D51">
        <v>122.21</v>
      </c>
      <c r="E51">
        <v>129.59</v>
      </c>
      <c r="F51">
        <v>782436</v>
      </c>
    </row>
    <row r="52" spans="1:6" x14ac:dyDescent="0.35">
      <c r="A52" s="3">
        <v>46254</v>
      </c>
      <c r="B52">
        <v>129.59</v>
      </c>
      <c r="C52">
        <v>136.62</v>
      </c>
      <c r="D52">
        <v>128.76</v>
      </c>
      <c r="E52">
        <v>134.41999999999999</v>
      </c>
      <c r="F52">
        <v>551100</v>
      </c>
    </row>
    <row r="53" spans="1:6" x14ac:dyDescent="0.35">
      <c r="A53" s="3">
        <v>46255</v>
      </c>
      <c r="B53">
        <v>134.41999999999999</v>
      </c>
      <c r="C53">
        <v>135.35</v>
      </c>
      <c r="D53">
        <v>132.58000000000001</v>
      </c>
      <c r="E53">
        <v>133.88999999999999</v>
      </c>
      <c r="F53">
        <v>154240</v>
      </c>
    </row>
    <row r="54" spans="1:6" x14ac:dyDescent="0.35">
      <c r="A54" s="3">
        <v>46258</v>
      </c>
      <c r="B54">
        <v>133.88999999999999</v>
      </c>
      <c r="C54">
        <v>134.91999999999999</v>
      </c>
      <c r="D54">
        <v>127.96</v>
      </c>
      <c r="E54">
        <v>130.03</v>
      </c>
      <c r="F54">
        <v>478713</v>
      </c>
    </row>
    <row r="55" spans="1:6" x14ac:dyDescent="0.35">
      <c r="A55" s="3">
        <v>46258</v>
      </c>
      <c r="B55">
        <v>130.03</v>
      </c>
      <c r="C55">
        <v>135.72999999999999</v>
      </c>
      <c r="D55">
        <v>127.61</v>
      </c>
      <c r="E55">
        <v>134.38</v>
      </c>
      <c r="F55">
        <v>839118</v>
      </c>
    </row>
    <row r="56" spans="1:6" x14ac:dyDescent="0.35">
      <c r="A56" s="3">
        <v>46258</v>
      </c>
      <c r="B56">
        <v>134.38</v>
      </c>
      <c r="C56">
        <v>135.19</v>
      </c>
      <c r="D56">
        <v>130.65</v>
      </c>
      <c r="E56">
        <v>131.74</v>
      </c>
      <c r="F56">
        <v>671874</v>
      </c>
    </row>
    <row r="57" spans="1:6" x14ac:dyDescent="0.35">
      <c r="A57" s="3">
        <v>46259</v>
      </c>
      <c r="B57">
        <v>131.74</v>
      </c>
      <c r="C57">
        <v>133.4</v>
      </c>
      <c r="D57">
        <v>129.41</v>
      </c>
      <c r="E57">
        <v>131</v>
      </c>
      <c r="F57">
        <v>421344</v>
      </c>
    </row>
    <row r="58" spans="1:6" x14ac:dyDescent="0.35">
      <c r="A58" s="3">
        <v>46260</v>
      </c>
      <c r="B58">
        <v>131</v>
      </c>
      <c r="C58">
        <v>135.33000000000001</v>
      </c>
      <c r="D58">
        <v>128.79</v>
      </c>
      <c r="E58">
        <v>133.83000000000001</v>
      </c>
      <c r="F58">
        <v>269293</v>
      </c>
    </row>
    <row r="59" spans="1:6" x14ac:dyDescent="0.35">
      <c r="A59" s="3">
        <v>46261</v>
      </c>
      <c r="B59">
        <v>133.83000000000001</v>
      </c>
      <c r="C59">
        <v>137.53</v>
      </c>
      <c r="D59">
        <v>133.16999999999999</v>
      </c>
      <c r="E59">
        <v>135.11000000000001</v>
      </c>
      <c r="F59">
        <v>227788</v>
      </c>
    </row>
    <row r="60" spans="1:6" x14ac:dyDescent="0.35">
      <c r="A60" s="3">
        <v>46262</v>
      </c>
      <c r="B60">
        <v>135.11000000000001</v>
      </c>
      <c r="C60">
        <v>136.08000000000001</v>
      </c>
      <c r="D60">
        <v>132.24</v>
      </c>
      <c r="E60">
        <v>132.97999999999999</v>
      </c>
      <c r="F60">
        <v>590105</v>
      </c>
    </row>
    <row r="61" spans="1:6" x14ac:dyDescent="0.35">
      <c r="A61" s="3">
        <v>46265</v>
      </c>
      <c r="B61">
        <v>132.97999999999999</v>
      </c>
      <c r="C61">
        <v>133.97</v>
      </c>
      <c r="D61">
        <v>129.94999999999999</v>
      </c>
      <c r="E61">
        <v>131.63999999999999</v>
      </c>
      <c r="F61">
        <v>411105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BEDF-774A-4627-A635-CAF7BEF8F616}">
  <dimension ref="A1:C11"/>
  <sheetViews>
    <sheetView showGridLines="0" workbookViewId="0"/>
  </sheetViews>
  <sheetFormatPr defaultRowHeight="14.5" x14ac:dyDescent="0.35"/>
  <sheetData>
    <row r="1" spans="1:3" x14ac:dyDescent="0.35">
      <c r="A1" t="s">
        <v>12</v>
      </c>
      <c r="B1" t="s">
        <v>11</v>
      </c>
      <c r="C1" t="s">
        <v>5</v>
      </c>
    </row>
    <row r="2" spans="1:3" x14ac:dyDescent="0.35">
      <c r="A2" t="str">
        <f>'Weekly Dashboard'!B31</f>
        <v>Loss</v>
      </c>
      <c r="B2" t="str">
        <f>'Weekly Dashboard'!A31</f>
        <v>29 Jun – 05 Jul</v>
      </c>
      <c r="C2" s="15">
        <f>'Weekly Dashboard'!C31</f>
        <v>647255</v>
      </c>
    </row>
    <row r="3" spans="1:3" x14ac:dyDescent="0.35">
      <c r="A3" t="str">
        <f>'Weekly Dashboard'!B32</f>
        <v>Gain</v>
      </c>
      <c r="B3" t="str">
        <f>'Weekly Dashboard'!A32</f>
        <v>06 Jul – 12 Jul</v>
      </c>
      <c r="C3" s="15">
        <f>'Weekly Dashboard'!C32</f>
        <v>3139289</v>
      </c>
    </row>
    <row r="4" spans="1:3" x14ac:dyDescent="0.35">
      <c r="A4" t="str">
        <f>'Weekly Dashboard'!B33</f>
        <v>Gain</v>
      </c>
      <c r="B4" t="str">
        <f>'Weekly Dashboard'!A33</f>
        <v>13 Jul – 19 Jul</v>
      </c>
      <c r="C4" s="15">
        <f>'Weekly Dashboard'!C33</f>
        <v>2516852</v>
      </c>
    </row>
    <row r="5" spans="1:3" x14ac:dyDescent="0.35">
      <c r="A5" t="str">
        <f>'Weekly Dashboard'!B34</f>
        <v>Loss</v>
      </c>
      <c r="B5" t="str">
        <f>'Weekly Dashboard'!A34</f>
        <v>20 Jul – 26 Jul</v>
      </c>
      <c r="C5" s="15">
        <f>'Weekly Dashboard'!C34</f>
        <v>2778758</v>
      </c>
    </row>
    <row r="6" spans="1:3" x14ac:dyDescent="0.35">
      <c r="A6" t="str">
        <f>'Weekly Dashboard'!B35</f>
        <v>Gain</v>
      </c>
      <c r="B6" t="str">
        <f>'Weekly Dashboard'!A35</f>
        <v>27 Jul – 02 Aug</v>
      </c>
      <c r="C6" s="15">
        <f>'Weekly Dashboard'!C35</f>
        <v>1692709</v>
      </c>
    </row>
    <row r="7" spans="1:3" x14ac:dyDescent="0.35">
      <c r="A7" t="str">
        <f>'Weekly Dashboard'!B36</f>
        <v>Gain</v>
      </c>
      <c r="B7" t="str">
        <f>'Weekly Dashboard'!A36</f>
        <v>03 Aug – 09 Aug</v>
      </c>
      <c r="C7" s="15">
        <f>'Weekly Dashboard'!C36</f>
        <v>3316076</v>
      </c>
    </row>
    <row r="8" spans="1:3" x14ac:dyDescent="0.35">
      <c r="A8" t="str">
        <f>'Weekly Dashboard'!B37</f>
        <v>Gain</v>
      </c>
      <c r="B8" t="str">
        <f>'Weekly Dashboard'!A37</f>
        <v>10 Aug – 16 Aug</v>
      </c>
      <c r="C8" s="15">
        <f>'Weekly Dashboard'!C37</f>
        <v>2699117</v>
      </c>
    </row>
    <row r="9" spans="1:3" x14ac:dyDescent="0.35">
      <c r="A9" t="str">
        <f>'Weekly Dashboard'!B38</f>
        <v>Gain</v>
      </c>
      <c r="B9" t="str">
        <f>'Weekly Dashboard'!A38</f>
        <v>17 Aug – 23 Aug</v>
      </c>
      <c r="C9" s="15">
        <f>'Weekly Dashboard'!C38</f>
        <v>2506578</v>
      </c>
    </row>
    <row r="10" spans="1:3" x14ac:dyDescent="0.35">
      <c r="A10" t="str">
        <f>'Weekly Dashboard'!B39</f>
        <v>Loss</v>
      </c>
      <c r="B10" t="str">
        <f>'Weekly Dashboard'!A39</f>
        <v>24 Aug – 30 Aug</v>
      </c>
      <c r="C10" s="15">
        <f>'Weekly Dashboard'!C39</f>
        <v>3498235</v>
      </c>
    </row>
    <row r="11" spans="1:3" x14ac:dyDescent="0.35">
      <c r="A11" t="str">
        <f>'Weekly Dashboard'!B40</f>
        <v>Loss</v>
      </c>
      <c r="B11" t="str">
        <f>'Weekly Dashboard'!A40</f>
        <v>31 Aug – 06 Sep</v>
      </c>
      <c r="C11" s="15">
        <f>'Weekly Dashboard'!C40</f>
        <v>411105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Dashboard</vt:lpstr>
      <vt:lpstr>Sheet1</vt:lpstr>
      <vt:lpstr>Chart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w</dc:creator>
  <cp:lastModifiedBy>Vinod w</cp:lastModifiedBy>
  <dcterms:created xsi:type="dcterms:W3CDTF">2026-10-03T20:19:18Z</dcterms:created>
  <dcterms:modified xsi:type="dcterms:W3CDTF">2026-10-07T17:26:56Z</dcterms:modified>
</cp:coreProperties>
</file>