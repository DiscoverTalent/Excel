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202300"/>
  <mc:AlternateContent xmlns:mc="http://schemas.openxmlformats.org/markup-compatibility/2006">
    <mc:Choice Requires="x15">
      <x15ac:absPath xmlns:x15ac="http://schemas.microsoft.com/office/spreadsheetml/2010/11/ac" url="C:\Users\DrVin\Downloads\VSCN Workshop\"/>
    </mc:Choice>
  </mc:AlternateContent>
  <xr:revisionPtr revIDLastSave="0" documentId="8_{2B682E40-8BA7-4800-AA6D-1FA965315EFF}" xr6:coauthVersionLast="47" xr6:coauthVersionMax="47" xr10:uidLastSave="{00000000-0000-0000-0000-000000000000}"/>
  <bookViews>
    <workbookView xWindow="-110" yWindow="-110" windowWidth="19420" windowHeight="11500" activeTab="2" xr2:uid="{9068C7A2-B5FD-49FD-9D27-CEF7312F3CD9}"/>
  </bookViews>
  <sheets>
    <sheet name="Sheet1" sheetId="1" r:id="rId1"/>
    <sheet name="Clean Data" sheetId="2" r:id="rId2"/>
    <sheet name="Data Quality Audit" sheetId="3" r:id="rId3"/>
    <sheet name="KPI Framework" sheetId="4" r:id="rId4"/>
    <sheet name="Dashboard Pivots" sheetId="6" state="hidden" r:id="rId5"/>
    <sheet name="Executive Dashboard" sheetId="7" r:id="rId6"/>
  </sheets>
  <definedNames>
    <definedName name="Slicer_Category">#N/A</definedName>
    <definedName name="Slicer_Delivery_Status">#N/A</definedName>
    <definedName name="Slicer_Region">#N/A</definedName>
    <definedName name="Slicer_Supplier">#N/A</definedName>
    <definedName name="Slicer_Transport_Mode">#N/A</definedName>
    <definedName name="Slicer_Warehouse">#N/A</definedName>
  </definedNames>
  <calcPr calcId="191029"/>
  <pivotCaches>
    <pivotCache cacheId="3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6" i="7" l="1"/>
  <c r="Q6" i="7"/>
  <c r="M6" i="7"/>
  <c r="I6" i="7"/>
  <c r="E6" i="7"/>
  <c r="A6" i="7"/>
  <c r="C14" i="4"/>
  <c r="C9" i="4"/>
  <c r="C8" i="4"/>
  <c r="C6" i="4"/>
  <c r="C5" i="4"/>
  <c r="AD31" i="2"/>
  <c r="AD30" i="2"/>
  <c r="AD29" i="2"/>
  <c r="AD28" i="2"/>
  <c r="AD27" i="2"/>
  <c r="AD26" i="2"/>
  <c r="AD25" i="2"/>
  <c r="AD24" i="2"/>
  <c r="AD23" i="2"/>
  <c r="AD22" i="2"/>
  <c r="AD21" i="2"/>
  <c r="AD20" i="2"/>
  <c r="AD19" i="2"/>
  <c r="AD18" i="2"/>
  <c r="AD17" i="2"/>
  <c r="AD16" i="2"/>
  <c r="AD15" i="2"/>
  <c r="AD14" i="2"/>
  <c r="AD13" i="2"/>
  <c r="AD12" i="2"/>
  <c r="AD11" i="2"/>
  <c r="AD10" i="2"/>
  <c r="AD9" i="2"/>
  <c r="AD8" i="2"/>
  <c r="AD7" i="2"/>
  <c r="AD6" i="2"/>
  <c r="AD5" i="2"/>
  <c r="AD4" i="2"/>
  <c r="AD3" i="2"/>
  <c r="AD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AC5" i="2"/>
  <c r="AC4" i="2"/>
  <c r="AC3" i="2"/>
  <c r="AC2" i="2"/>
  <c r="AB31" i="2"/>
  <c r="AB30" i="2"/>
  <c r="AB29" i="2"/>
  <c r="AB28" i="2"/>
  <c r="AB27" i="2"/>
  <c r="AB26" i="2"/>
  <c r="AB25" i="2"/>
  <c r="AB24" i="2"/>
  <c r="AB23" i="2"/>
  <c r="AB22" i="2"/>
  <c r="AB21" i="2"/>
  <c r="AB20" i="2"/>
  <c r="AB19" i="2"/>
  <c r="AB18" i="2"/>
  <c r="AB17" i="2"/>
  <c r="AB16" i="2"/>
  <c r="AB15" i="2"/>
  <c r="AB14" i="2"/>
  <c r="AB13" i="2"/>
  <c r="AB12" i="2"/>
  <c r="AB11" i="2"/>
  <c r="AB10" i="2"/>
  <c r="AB9" i="2"/>
  <c r="AB8" i="2"/>
  <c r="AB7" i="2"/>
  <c r="AB6" i="2"/>
  <c r="AB5" i="2"/>
  <c r="AB4" i="2"/>
  <c r="AB3" i="2"/>
  <c r="AB2" i="2"/>
  <c r="AA31" i="2"/>
  <c r="AA30" i="2"/>
  <c r="AA29" i="2"/>
  <c r="AA28" i="2"/>
  <c r="AA27" i="2"/>
  <c r="AA26" i="2"/>
  <c r="AA25" i="2"/>
  <c r="AA24" i="2"/>
  <c r="AA23" i="2"/>
  <c r="AA22" i="2"/>
  <c r="AA21" i="2"/>
  <c r="AA20" i="2"/>
  <c r="AA19" i="2"/>
  <c r="AA18" i="2"/>
  <c r="AA17" i="2"/>
  <c r="AA16" i="2"/>
  <c r="AA15" i="2"/>
  <c r="AA14" i="2"/>
  <c r="AA13" i="2"/>
  <c r="AA12" i="2"/>
  <c r="AA11" i="2"/>
  <c r="AA10" i="2"/>
  <c r="AA9" i="2"/>
  <c r="AA8" i="2"/>
  <c r="AA7" i="2"/>
  <c r="AA6" i="2"/>
  <c r="AA5" i="2"/>
  <c r="AA4" i="2"/>
  <c r="AA3" i="2"/>
  <c r="AA2" i="2"/>
  <c r="Z31" i="2"/>
  <c r="Z30" i="2"/>
  <c r="Z29" i="2"/>
  <c r="Z28" i="2"/>
  <c r="Z27" i="2"/>
  <c r="Z26" i="2"/>
  <c r="Z25" i="2"/>
  <c r="Z24" i="2"/>
  <c r="Z23" i="2"/>
  <c r="Z22" i="2"/>
  <c r="Z21" i="2"/>
  <c r="Z20" i="2"/>
  <c r="Z19" i="2"/>
  <c r="Z18" i="2"/>
  <c r="Z17" i="2"/>
  <c r="Z16" i="2"/>
  <c r="Z15" i="2"/>
  <c r="Z14" i="2"/>
  <c r="Z13" i="2"/>
  <c r="Z12" i="2"/>
  <c r="Z11" i="2"/>
  <c r="Z10" i="2"/>
  <c r="Z9" i="2"/>
  <c r="Z8" i="2"/>
  <c r="Z7" i="2"/>
  <c r="Z6" i="2"/>
  <c r="Z5" i="2"/>
  <c r="Z4" i="2"/>
  <c r="Z3" i="2"/>
  <c r="Z2" i="2"/>
  <c r="Y31" i="2"/>
  <c r="Y30" i="2"/>
  <c r="Y29" i="2"/>
  <c r="Y28" i="2"/>
  <c r="Y27" i="2"/>
  <c r="Y26" i="2"/>
  <c r="Y25" i="2"/>
  <c r="Y24" i="2"/>
  <c r="Y23" i="2"/>
  <c r="Y22" i="2"/>
  <c r="Y21" i="2"/>
  <c r="Y20" i="2"/>
  <c r="Y19" i="2"/>
  <c r="Y18" i="2"/>
  <c r="Y17" i="2"/>
  <c r="Y16" i="2"/>
  <c r="Y15" i="2"/>
  <c r="Y14" i="2"/>
  <c r="Y13" i="2"/>
  <c r="Y12" i="2"/>
  <c r="Y11" i="2"/>
  <c r="Y10" i="2"/>
  <c r="Y9" i="2"/>
  <c r="Y8" i="2"/>
  <c r="Y7" i="2"/>
  <c r="Y6" i="2"/>
  <c r="Y5" i="2"/>
  <c r="Y4" i="2"/>
  <c r="Y3" i="2"/>
  <c r="Y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V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U2" i="2"/>
  <c r="G28" i="4"/>
  <c r="G27" i="4"/>
  <c r="G26" i="4"/>
  <c r="G25" i="4"/>
  <c r="G24" i="4"/>
  <c r="G23" i="4"/>
  <c r="G22" i="4"/>
  <c r="G21" i="4"/>
  <c r="G20" i="4"/>
  <c r="G19" i="4"/>
  <c r="F28" i="4"/>
  <c r="F27" i="4"/>
  <c r="F26" i="4"/>
  <c r="F25" i="4"/>
  <c r="F24" i="4"/>
  <c r="F23" i="4"/>
  <c r="F22" i="4"/>
  <c r="F21" i="4"/>
  <c r="F20" i="4"/>
  <c r="F19" i="4"/>
  <c r="E28" i="4"/>
  <c r="E27" i="4"/>
  <c r="E26" i="4"/>
  <c r="E25" i="4"/>
  <c r="E24" i="4"/>
  <c r="E23" i="4"/>
  <c r="E22" i="4"/>
  <c r="E21" i="4"/>
  <c r="E20" i="4"/>
  <c r="E19" i="4"/>
  <c r="C28" i="4"/>
  <c r="D28" i="4" s="1"/>
  <c r="C27" i="4"/>
  <c r="D27" i="4" s="1"/>
  <c r="C26" i="4"/>
  <c r="C25" i="4"/>
  <c r="C24" i="4"/>
  <c r="D24" i="4" s="1"/>
  <c r="C23" i="4"/>
  <c r="D23" i="4" s="1"/>
  <c r="C22" i="4"/>
  <c r="D22" i="4" s="1"/>
  <c r="C21" i="4"/>
  <c r="C20" i="4"/>
  <c r="D20" i="4" s="1"/>
  <c r="C19" i="4"/>
  <c r="B28" i="4"/>
  <c r="B27" i="4"/>
  <c r="B26" i="4"/>
  <c r="D26" i="4" s="1"/>
  <c r="B25" i="4"/>
  <c r="D25" i="4" s="1"/>
  <c r="B24" i="4"/>
  <c r="B23" i="4"/>
  <c r="B22" i="4"/>
  <c r="B21" i="4"/>
  <c r="D21" i="4" s="1"/>
  <c r="B20" i="4"/>
  <c r="B19" i="4"/>
  <c r="D19" i="4" s="1"/>
  <c r="C10" i="4" s="1"/>
  <c r="C7" i="4"/>
  <c r="C11" i="4"/>
  <c r="C12" i="4"/>
  <c r="C13" i="4"/>
</calcChain>
</file>

<file path=xl/sharedStrings.xml><?xml version="1.0" encoding="utf-8"?>
<sst xmlns="http://schemas.openxmlformats.org/spreadsheetml/2006/main" count="982" uniqueCount="283">
  <si>
    <t>Order ID</t>
  </si>
  <si>
    <t>Order Date</t>
  </si>
  <si>
    <t>Customer / Contact</t>
  </si>
  <si>
    <t>Product</t>
  </si>
  <si>
    <t>Category</t>
  </si>
  <si>
    <t>Supplier</t>
  </si>
  <si>
    <t>Origin</t>
  </si>
  <si>
    <t>Destination</t>
  </si>
  <si>
    <t>Region</t>
  </si>
  <si>
    <t>Warehouse</t>
  </si>
  <si>
    <t>Transport Mode</t>
  </si>
  <si>
    <t>Quantity</t>
  </si>
  <si>
    <t>Unit Cost</t>
  </si>
  <si>
    <t>Order Value</t>
  </si>
  <si>
    <t>Current Stock</t>
  </si>
  <si>
    <t>Reorder Level</t>
  </si>
  <si>
    <t>Lead Time (Days)</t>
  </si>
  <si>
    <t>Promised Date</t>
  </si>
  <si>
    <t>Delivery Date</t>
  </si>
  <si>
    <t>Delivery Status</t>
  </si>
  <si>
    <t>SC-1001</t>
  </si>
  <si>
    <t>Nguyen Minh Anh</t>
  </si>
  <si>
    <t>Barcode Scanner</t>
  </si>
  <si>
    <t>Warehouse Equipment</t>
  </si>
  <si>
    <t>Pacific Source</t>
  </si>
  <si>
    <t>Malaysia</t>
  </si>
  <si>
    <t>Vietnam</t>
  </si>
  <si>
    <t>Ho Chi Minh DC</t>
  </si>
  <si>
    <t>Air</t>
  </si>
  <si>
    <t>Delayed</t>
  </si>
  <si>
    <t>SC-1002</t>
  </si>
  <si>
    <t>Tran Quang Huy</t>
  </si>
  <si>
    <t>Conveyor Belt</t>
  </si>
  <si>
    <t>Material Handling</t>
  </si>
  <si>
    <t>VinaTech Supplies</t>
  </si>
  <si>
    <t>Singapore</t>
  </si>
  <si>
    <t>Sea</t>
  </si>
  <si>
    <t>On Time</t>
  </si>
  <si>
    <t>SC-1003</t>
  </si>
  <si>
    <t>Le Thi Mai</t>
  </si>
  <si>
    <t>Packaging Box</t>
  </si>
  <si>
    <t>Packaging</t>
  </si>
  <si>
    <t>Mekong Distribution</t>
  </si>
  <si>
    <t>Indonesia</t>
  </si>
  <si>
    <t>Thailand</t>
  </si>
  <si>
    <t>Bangkok DC</t>
  </si>
  <si>
    <t>SC-1004</t>
  </si>
  <si>
    <t>Pham Hoang Nam</t>
  </si>
  <si>
    <t>Safety Gloves</t>
  </si>
  <si>
    <t>Safety</t>
  </si>
  <si>
    <t>Korea Industrial Co.</t>
  </si>
  <si>
    <t>South Korea</t>
  </si>
  <si>
    <t>Road</t>
  </si>
  <si>
    <t>SC-1005</t>
  </si>
  <si>
    <t>Arjun Mehta</t>
  </si>
  <si>
    <t>Handheld Terminal</t>
  </si>
  <si>
    <t>Electronics</t>
  </si>
  <si>
    <t>IndoTrade Solutions</t>
  </si>
  <si>
    <t>Hanoi DC</t>
  </si>
  <si>
    <t>SC-1006</t>
  </si>
  <si>
    <t>Priya Nair</t>
  </si>
  <si>
    <t>Safety Helmet</t>
  </si>
  <si>
    <t>Dragon Supply Co.</t>
  </si>
  <si>
    <t>Kuala Lumpur DC</t>
  </si>
  <si>
    <t>SC-1007</t>
  </si>
  <si>
    <t>Rahul Sharma</t>
  </si>
  <si>
    <t>Siam Components</t>
  </si>
  <si>
    <t>India</t>
  </si>
  <si>
    <t>Singapore Hub</t>
  </si>
  <si>
    <t>Rail</t>
  </si>
  <si>
    <t>SC-1008</t>
  </si>
  <si>
    <t>Ananya Iyer</t>
  </si>
  <si>
    <t>RFID Labels</t>
  </si>
  <si>
    <t>Technology</t>
  </si>
  <si>
    <t>Mumbai DC</t>
  </si>
  <si>
    <t>SC-1009</t>
  </si>
  <si>
    <t>Tan Wei Ming</t>
  </si>
  <si>
    <t>SC-1010</t>
  </si>
  <si>
    <t>Lim Jia Hui</t>
  </si>
  <si>
    <t>SC-1011</t>
  </si>
  <si>
    <t>Siti Nur Aisyah</t>
  </si>
  <si>
    <t>SC-1012</t>
  </si>
  <si>
    <t>Ahmad Faiz</t>
  </si>
  <si>
    <t>Stretch Film</t>
  </si>
  <si>
    <t>SC-1013</t>
  </si>
  <si>
    <t>Somchai Prasert</t>
  </si>
  <si>
    <t>Philippines</t>
  </si>
  <si>
    <t>SC-1014</t>
  </si>
  <si>
    <t>Nattapong Chai</t>
  </si>
  <si>
    <t>SC-1015</t>
  </si>
  <si>
    <t>Maria Santos</t>
  </si>
  <si>
    <t>Nippon Industrial</t>
  </si>
  <si>
    <t>China</t>
  </si>
  <si>
    <t>SC-1016</t>
  </si>
  <si>
    <t>Juan Dela Cruz</t>
  </si>
  <si>
    <t>SC-1017</t>
  </si>
  <si>
    <t>Kenji Tanaka</t>
  </si>
  <si>
    <t>Pallet</t>
  </si>
  <si>
    <t>SC-1018</t>
  </si>
  <si>
    <t>Yuki Sato</t>
  </si>
  <si>
    <t>Horizon Packaging</t>
  </si>
  <si>
    <t>SC-1019</t>
  </si>
  <si>
    <t>Kim Min-Jun</t>
  </si>
  <si>
    <t>SC-1020</t>
  </si>
  <si>
    <t>Park Ji-Won</t>
  </si>
  <si>
    <t>SC-1021</t>
  </si>
  <si>
    <t>Chen Wei</t>
  </si>
  <si>
    <t>Laptop</t>
  </si>
  <si>
    <t>AsiaLogix</t>
  </si>
  <si>
    <t>SC-1022</t>
  </si>
  <si>
    <t>Li Na</t>
  </si>
  <si>
    <t>SC-1023</t>
  </si>
  <si>
    <t>Wang Jun</t>
  </si>
  <si>
    <t>SC-1024</t>
  </si>
  <si>
    <t>Zhang Wei</t>
  </si>
  <si>
    <t>SC-1025</t>
  </si>
  <si>
    <t>Budi Santoso</t>
  </si>
  <si>
    <t>SC-1026</t>
  </si>
  <si>
    <t>Rina Putri</t>
  </si>
  <si>
    <t>SC-1027</t>
  </si>
  <si>
    <t>Kumar Raj</t>
  </si>
  <si>
    <t>Japan</t>
  </si>
  <si>
    <t>SC-1028</t>
  </si>
  <si>
    <t>Mei Lin</t>
  </si>
  <si>
    <t>SC-1029</t>
  </si>
  <si>
    <t>Hana Suzuki</t>
  </si>
  <si>
    <t>SC-1030</t>
  </si>
  <si>
    <t>Dimas Pratama</t>
  </si>
  <si>
    <t>Supply Chain Data Quality Audit</t>
  </si>
  <si>
    <t>Source preserved unchanged; cleaned analysis copy created from all 30 records.</t>
  </si>
  <si>
    <t>Validation Check</t>
  </si>
  <si>
    <t>Records Checked</t>
  </si>
  <si>
    <t>Issues Found</t>
  </si>
  <si>
    <t>Result</t>
  </si>
  <si>
    <t>Action Taken</t>
  </si>
  <si>
    <t>Correction Needed</t>
  </si>
  <si>
    <t>Blank required fields</t>
  </si>
  <si>
    <t>Pass</t>
  </si>
  <si>
    <t>None</t>
  </si>
  <si>
    <t>No</t>
  </si>
  <si>
    <t>Duplicate Order IDs</t>
  </si>
  <si>
    <t>Fully duplicate records</t>
  </si>
  <si>
    <t>Order / Promised / Delivery dates</t>
  </si>
  <si>
    <t>Standardized display to dd-mmm-yyyy in clean copy</t>
  </si>
  <si>
    <t>Numeric field types</t>
  </si>
  <si>
    <t>Standardized integer and decimal formats in clean copy</t>
  </si>
  <si>
    <t>Order Value = Quantity × Unit Cost</t>
  </si>
  <si>
    <t>Promised Date = Order Date + Lead Time</t>
  </si>
  <si>
    <t>Delivery Status vs promised date</t>
  </si>
  <si>
    <t>Region matches Destination</t>
  </si>
  <si>
    <t>Categorical label consistency</t>
  </si>
  <si>
    <t>No label changes required</t>
  </si>
  <si>
    <t>Field</t>
  </si>
  <si>
    <t>Distinct Values</t>
  </si>
  <si>
    <t>Validated Labels</t>
  </si>
  <si>
    <t>Electronics; Material Handling; Packaging; Safety; Technology; Warehouse Equipment</t>
  </si>
  <si>
    <t>AsiaLogix; Dragon Supply Co.; Horizon Packaging; IndoTrade Solutions; Korea Industrial Co.; Mekong Distribution; Nippon Industrial; Pacific Source; Siam Components; VinaTech Supplies</t>
  </si>
  <si>
    <t>Malaysia; Philippines; Singapore; Thailand; Vietnam</t>
  </si>
  <si>
    <t>Bangkok DC; Hanoi DC; Ho Chi Minh DC; Kuala Lumpur DC; Mumbai DC; Singapore Hub</t>
  </si>
  <si>
    <t>Air; Rail; Road; Sea</t>
  </si>
  <si>
    <t>Delayed; On Time</t>
  </si>
  <si>
    <t>Observation</t>
  </si>
  <si>
    <t>Assessment</t>
  </si>
  <si>
    <t>Source date cells are already true Excel dates</t>
  </si>
  <si>
    <t>Only their display format required standardization in the clean copy.</t>
  </si>
  <si>
    <t>All six requested numeric fields contain numeric values</t>
  </si>
  <si>
    <t>All values are non-negative; Quantity and stock/lead-time fields are whole numbers.</t>
  </si>
  <si>
    <t>No corrections to source values were made</t>
  </si>
  <si>
    <t>The original `VSCN_DataSet` remains intact on Sheet1.</t>
  </si>
  <si>
    <t>Operational alert (not a data-quality error)</t>
  </si>
  <si>
    <t>10 records have Current Stock below Reorder Level (SC-1003, SC-1006, SC-1010, SC-1014, SC-1017, SC-1020, SC-1021, SC-1025, SC-1026, SC-1029); review during analysis.</t>
  </si>
  <si>
    <t>Supply Chain Management KPI Framework</t>
  </si>
  <si>
    <t>Current performance, calculation logic, and final-dashboard priorities based on all 30 cleaned orders</t>
  </si>
  <si>
    <t>Priority</t>
  </si>
  <si>
    <t>KPI</t>
  </si>
  <si>
    <t>Current Value</t>
  </si>
  <si>
    <t>Calculation</t>
  </si>
  <si>
    <t>Why It Matters</t>
  </si>
  <si>
    <t>Final Dashboard</t>
  </si>
  <si>
    <t>Management Interpretation</t>
  </si>
  <si>
    <t>On-Time Delivery %</t>
  </si>
  <si>
    <t>On-time orders ÷ total orders</t>
  </si>
  <si>
    <t>Primary customer-service and logistics reliability measure.</t>
  </si>
  <si>
    <t>Recommended</t>
  </si>
  <si>
    <t>60.0% indicates substantial delivery reliability risk.</t>
  </si>
  <si>
    <t>Delayed Orders</t>
  </si>
  <si>
    <t>Count of orders marked Delayed</t>
  </si>
  <si>
    <t>Shows the immediate exception workload requiring corrective action.</t>
  </si>
  <si>
    <t>12 orders require delay root-cause review.</t>
  </si>
  <si>
    <t>Total Order Value</t>
  </si>
  <si>
    <t>Sum of Order Value</t>
  </si>
  <si>
    <t>Quantifies financial exposure, throughput, and supplier spend under management.</t>
  </si>
  <si>
    <t>Over 1.00M of order value is represented in the current dataset.</t>
  </si>
  <si>
    <t>Low Stock Items</t>
  </si>
  <si>
    <t>Current Stock &gt; 0 and below Reorder Level</t>
  </si>
  <si>
    <t>Identifies replenishment risk before a full stock-out occurs.</t>
  </si>
  <si>
    <t>10 orders are below their reorder thresholds.</t>
  </si>
  <si>
    <t>Stock-out Orders</t>
  </si>
  <si>
    <t>Count where Current Stock ≤ 0</t>
  </si>
  <si>
    <t>Signals immediate inability to fulfill demand and potential lost sales.</t>
  </si>
  <si>
    <t>No current stock-outs; retain as a critical exception KPI.</t>
  </si>
  <si>
    <t>Supplier Performance</t>
  </si>
  <si>
    <t>Suppliers with ≥90% on-time delivery</t>
  </si>
  <si>
    <t>Supports supplier reviews, sourcing allocation, and corrective action.</t>
  </si>
  <si>
    <t>2 of 10 suppliers currently meet a 90% on-time threshold.</t>
  </si>
  <si>
    <t>Average Lead Time</t>
  </si>
  <si>
    <t>Average of Lead Time (Days)</t>
  </si>
  <si>
    <t>Tracks replenishment responsiveness and informs safety-stock planning.</t>
  </si>
  <si>
    <t>Average lead time is 9.1 days.</t>
  </si>
  <si>
    <t>Total Orders</t>
  </si>
  <si>
    <t>Count of unique Order IDs</t>
  </si>
  <si>
    <t>Provides the workload denominator for service and exception rates.</t>
  </si>
  <si>
    <t>30 orders form the current reporting base.</t>
  </si>
  <si>
    <t>Total Quantity</t>
  </si>
  <si>
    <t>Sum of Quantity</t>
  </si>
  <si>
    <t>Measures physical volume for capacity and transportation planning.</t>
  </si>
  <si>
    <t>Secondary</t>
  </si>
  <si>
    <t>6,751 units; useful as context but less decision-oriented alone.</t>
  </si>
  <si>
    <t>Healthy Stock Items</t>
  </si>
  <si>
    <t>Current Stock at or above Reorder Level</t>
  </si>
  <si>
    <t>Shows the share of inventory currently outside replenishment risk.</t>
  </si>
  <si>
    <t>20 orders are at or above reorder level.</t>
  </si>
  <si>
    <t>Supplier Performance Detail</t>
  </si>
  <si>
    <t>Orders</t>
  </si>
  <si>
    <t>On-Time Orders</t>
  </si>
  <si>
    <t>On-Time %</t>
  </si>
  <si>
    <t>Avg Lead Time</t>
  </si>
  <si>
    <t>Definitions: Stock-out = Current Stock ≤ 0. Low Stock = Current Stock &gt; 0 but below Reorder Level. Healthy Stock = Current Stock ≥ Reorder Level. Supplier target = ≥90% on-time delivery; interpret small supplier samples cautiously.</t>
  </si>
  <si>
    <t>Delivery Delay Days</t>
  </si>
  <si>
    <t>On-Time Flag</t>
  </si>
  <si>
    <t>Delay Flag</t>
  </si>
  <si>
    <t>Stock Status</t>
  </si>
  <si>
    <t>Stock-out Flag</t>
  </si>
  <si>
    <t>Low Stock Flag</t>
  </si>
  <si>
    <t>Healthy Stock Flag</t>
  </si>
  <si>
    <t>Supplier On-Time %</t>
  </si>
  <si>
    <t>Delivery Cycle Days</t>
  </si>
  <si>
    <t>Stock Variance</t>
  </si>
  <si>
    <t>Calculated Field Dictionary</t>
  </si>
  <si>
    <t>Calculated Field</t>
  </si>
  <si>
    <t>Table Formula Logic</t>
  </si>
  <si>
    <t>Output</t>
  </si>
  <si>
    <t>Analytical Use</t>
  </si>
  <si>
    <t>Delivery Date − Promised Date</t>
  </si>
  <si>
    <t>Days; positive = late</t>
  </si>
  <si>
    <t>Measures lateness severity, not just delay frequency.</t>
  </si>
  <si>
    <t>1 when Delivery Date ≤ Promised Date; otherwise 0</t>
  </si>
  <si>
    <t>Average produces On-Time Delivery %.</t>
  </si>
  <si>
    <t>1 when Delivery Date &gt; Promised Date; otherwise 0</t>
  </si>
  <si>
    <t>Sum produces Delayed Orders.</t>
  </si>
  <si>
    <t>Stock-out if stock ≤ 0; Low Stock if below reorder level; otherwise Healthy</t>
  </si>
  <si>
    <t>Text category</t>
  </si>
  <si>
    <t>Supports clear inventory exception segmentation.</t>
  </si>
  <si>
    <t>1 when Current Stock ≤ 0</t>
  </si>
  <si>
    <t>Sum produces Stock-out Orders.</t>
  </si>
  <si>
    <t>1 when stock is positive but below Reorder Level</t>
  </si>
  <si>
    <t>Sum produces Low Stock Items without double-counting stock-outs.</t>
  </si>
  <si>
    <t>1 when Current Stock ≥ Reorder Level</t>
  </si>
  <si>
    <t>Sum produces Healthy Stock Items.</t>
  </si>
  <si>
    <t>Supplier on-time orders ÷ all orders for that supplier</t>
  </si>
  <si>
    <t>Percentage</t>
  </si>
  <si>
    <t>Compares delivery reliability across suppliers.</t>
  </si>
  <si>
    <t>Delivery Date − Order Date</t>
  </si>
  <si>
    <t>Days</t>
  </si>
  <si>
    <t>Shows actual end-to-end fulfillment duration.</t>
  </si>
  <si>
    <t>Current Stock − Reorder Level</t>
  </si>
  <si>
    <t>Units</t>
  </si>
  <si>
    <t>Quantifies inventory surplus or replenishment shortfall.</t>
  </si>
  <si>
    <t>Grand Total</t>
  </si>
  <si>
    <t>Healthy</t>
  </si>
  <si>
    <t>Low Stock</t>
  </si>
  <si>
    <t>Executive Supply Chain Analytics Dashboard</t>
  </si>
  <si>
    <t>Management view of delivery reliability, inventory exposure, supplier performance, and order value | 30 cleaned orders</t>
  </si>
  <si>
    <t>Current reporting volume</t>
  </si>
  <si>
    <t>Financial exposure</t>
  </si>
  <si>
    <t>Target: ≥90%</t>
  </si>
  <si>
    <t>Orders requiring review</t>
  </si>
  <si>
    <t>Days from order to promise</t>
  </si>
  <si>
    <t>Stock-out / Low Stock</t>
  </si>
  <si>
    <t>Immediate / emerging risk</t>
  </si>
  <si>
    <t>Delivery, Supplier &amp; Order Value Performance</t>
  </si>
  <si>
    <t>Inventory Risk &amp; Network Performance</t>
  </si>
  <si>
    <t>Interactive View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</si>
</sst>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0.0%"/>
    <numFmt numFmtId="166" formatCode="0.0"/>
  </numFmts>
  <fonts count="13" x14ac:knownFonts="1">
    <font>
      <sz val="11"/>
      <color theme="1"/>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b/>
      <sz val="11"/>
      <color rgb="FFFFFFFF"/>
      <name val="Aptos Narrow"/>
      <family val="2"/>
      <scheme val="minor"/>
    </font>
    <font>
      <b/>
      <sz val="16"/>
      <color rgb="FFFFFFFF"/>
      <name val="Aptos Narrow"/>
      <family val="2"/>
      <scheme val="minor"/>
    </font>
    <font>
      <i/>
      <sz val="11"/>
      <color theme="1"/>
      <name val="Aptos Narrow"/>
      <family val="2"/>
      <scheme val="minor"/>
    </font>
    <font>
      <b/>
      <sz val="11"/>
      <color rgb="FF375623"/>
      <name val="Aptos Narrow"/>
      <family val="2"/>
      <scheme val="minor"/>
    </font>
    <font>
      <sz val="8"/>
      <name val="Aptos Narrow"/>
      <family val="2"/>
      <scheme val="minor"/>
    </font>
    <font>
      <b/>
      <sz val="36"/>
      <color theme="1"/>
      <name val="Aptos Narrow"/>
      <family val="2"/>
      <scheme val="minor"/>
    </font>
    <font>
      <b/>
      <i/>
      <sz val="11"/>
      <color theme="1"/>
      <name val="Aptos Narrow"/>
      <family val="2"/>
      <scheme val="minor"/>
    </font>
    <font>
      <b/>
      <i/>
      <sz val="16"/>
      <color theme="1"/>
      <name val="Aptos Narrow"/>
      <family val="2"/>
      <scheme val="minor"/>
    </font>
    <font>
      <b/>
      <sz val="11"/>
      <color theme="2" tint="-9.9978637043366805E-2"/>
      <name val="Aptos Narrow"/>
      <family val="2"/>
      <scheme val="minor"/>
    </font>
  </fonts>
  <fills count="20">
    <fill>
      <patternFill patternType="none"/>
    </fill>
    <fill>
      <patternFill patternType="gray125"/>
    </fill>
    <fill>
      <patternFill patternType="solid">
        <fgColor rgb="FF17365D"/>
        <bgColor indexed="64"/>
      </patternFill>
    </fill>
    <fill>
      <patternFill patternType="solid">
        <fgColor rgb="FF4472C4"/>
        <bgColor indexed="64"/>
      </patternFill>
    </fill>
    <fill>
      <patternFill patternType="solid">
        <fgColor rgb="FFE2F0D9"/>
        <bgColor indexed="64"/>
      </patternFill>
    </fill>
    <fill>
      <patternFill patternType="solid">
        <fgColor rgb="FFD9EAF7"/>
        <bgColor indexed="64"/>
      </patternFill>
    </fill>
    <fill>
      <patternFill patternType="solid">
        <fgColor rgb="FFF2F2F2"/>
        <bgColor indexed="64"/>
      </patternFill>
    </fill>
    <fill>
      <patternFill patternType="solid">
        <fgColor rgb="FFFFF2CC"/>
        <bgColor indexed="64"/>
      </patternFill>
    </fill>
    <fill>
      <patternFill patternType="solid">
        <fgColor theme="6" tint="-0.499984740745262"/>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40">
    <xf numFmtId="0" fontId="0" fillId="0" borderId="0" xfId="0"/>
    <xf numFmtId="0" fontId="3" fillId="0" borderId="0" xfId="0" applyFont="1"/>
    <xf numFmtId="14" fontId="3" fillId="0" borderId="0" xfId="0" applyNumberFormat="1" applyFont="1"/>
    <xf numFmtId="164" fontId="0" fillId="0" borderId="0" xfId="0" applyNumberFormat="1"/>
    <xf numFmtId="3" fontId="0" fillId="0" borderId="0" xfId="0" applyNumberFormat="1"/>
    <xf numFmtId="4" fontId="0" fillId="0" borderId="0" xfId="0" applyNumberFormat="1"/>
    <xf numFmtId="0" fontId="0" fillId="0" borderId="0" xfId="0"/>
    <xf numFmtId="0" fontId="5" fillId="2" borderId="0" xfId="0" applyFont="1" applyFill="1"/>
    <xf numFmtId="0" fontId="6" fillId="0" borderId="0" xfId="0" applyFont="1"/>
    <xf numFmtId="0" fontId="4" fillId="3" borderId="0" xfId="0" applyFont="1" applyFill="1"/>
    <xf numFmtId="0" fontId="7" fillId="4" borderId="0" xfId="0" applyFont="1" applyFill="1"/>
    <xf numFmtId="0" fontId="0" fillId="0" borderId="0" xfId="0" applyAlignment="1">
      <alignment wrapText="1"/>
    </xf>
    <xf numFmtId="165" fontId="0" fillId="0" borderId="0" xfId="0" applyNumberFormat="1"/>
    <xf numFmtId="1" fontId="0" fillId="0" borderId="0" xfId="0" applyNumberFormat="1"/>
    <xf numFmtId="166" fontId="0" fillId="0" borderId="0" xfId="0" applyNumberFormat="1"/>
    <xf numFmtId="0" fontId="1" fillId="5" borderId="0" xfId="0" applyFont="1" applyFill="1"/>
    <xf numFmtId="0" fontId="0" fillId="6" borderId="0" xfId="0" applyFill="1"/>
    <xf numFmtId="0" fontId="6" fillId="7" borderId="0" xfId="0" applyFont="1" applyFill="1" applyAlignment="1">
      <alignment wrapText="1"/>
    </xf>
    <xf numFmtId="17" fontId="0" fillId="0" borderId="0" xfId="0" applyNumberFormat="1" applyAlignment="1">
      <alignment wrapText="1"/>
    </xf>
    <xf numFmtId="0" fontId="0" fillId="0" borderId="0" xfId="0" applyNumberFormat="1"/>
    <xf numFmtId="0" fontId="0" fillId="0" borderId="0" xfId="0" pivotButton="1"/>
    <xf numFmtId="0" fontId="9" fillId="0" borderId="0" xfId="0" applyFont="1" applyAlignment="1">
      <alignment horizontal="left" vertical="center"/>
    </xf>
    <xf numFmtId="0" fontId="11" fillId="0" borderId="0" xfId="0" applyFont="1"/>
    <xf numFmtId="0" fontId="10" fillId="0" borderId="0" xfId="0" applyFont="1" applyAlignment="1">
      <alignment horizontal="center" vertical="center"/>
    </xf>
    <xf numFmtId="0" fontId="10" fillId="0" borderId="0" xfId="0" applyFont="1" applyFill="1" applyBorder="1" applyAlignment="1">
      <alignment horizontal="center" vertical="center"/>
    </xf>
    <xf numFmtId="0" fontId="12" fillId="8" borderId="0" xfId="0" applyFont="1" applyFill="1" applyAlignment="1">
      <alignment horizontal="center" vertical="center"/>
    </xf>
    <xf numFmtId="0" fontId="0" fillId="9" borderId="0" xfId="0" applyFill="1" applyAlignment="1">
      <alignment horizontal="center" vertical="center"/>
    </xf>
    <xf numFmtId="0" fontId="12" fillId="10" borderId="0" xfId="0" applyFont="1" applyFill="1" applyAlignment="1">
      <alignment horizontal="center" vertical="center"/>
    </xf>
    <xf numFmtId="4" fontId="0" fillId="11" borderId="0" xfId="0" applyNumberFormat="1" applyFill="1" applyAlignment="1">
      <alignment horizontal="center" vertical="center"/>
    </xf>
    <xf numFmtId="0" fontId="0" fillId="11" borderId="0" xfId="0" applyFill="1" applyAlignment="1">
      <alignment horizontal="center" vertical="center"/>
    </xf>
    <xf numFmtId="0" fontId="12" fillId="12" borderId="0" xfId="0" applyFont="1" applyFill="1" applyAlignment="1">
      <alignment horizontal="center" vertical="center"/>
    </xf>
    <xf numFmtId="165" fontId="0" fillId="13" borderId="0" xfId="0" applyNumberFormat="1" applyFill="1" applyAlignment="1">
      <alignment horizontal="center" vertical="center"/>
    </xf>
    <xf numFmtId="0" fontId="0" fillId="13" borderId="0" xfId="0" applyFill="1" applyAlignment="1">
      <alignment horizontal="center" vertical="center"/>
    </xf>
    <xf numFmtId="0" fontId="12" fillId="14" borderId="0" xfId="0" applyFont="1" applyFill="1" applyBorder="1" applyAlignment="1">
      <alignment horizontal="center" vertical="center"/>
    </xf>
    <xf numFmtId="0" fontId="0" fillId="15" borderId="0" xfId="0" applyFill="1" applyAlignment="1">
      <alignment horizontal="center" vertical="center"/>
    </xf>
    <xf numFmtId="0" fontId="1" fillId="16" borderId="0" xfId="0" applyFont="1" applyFill="1" applyBorder="1" applyAlignment="1">
      <alignment horizontal="center" vertical="center"/>
    </xf>
    <xf numFmtId="166" fontId="0" fillId="17" borderId="0" xfId="0" applyNumberFormat="1" applyFill="1" applyAlignment="1">
      <alignment horizontal="center" vertical="center"/>
    </xf>
    <xf numFmtId="0" fontId="0" fillId="17" borderId="0" xfId="0" applyFill="1" applyAlignment="1">
      <alignment horizontal="center" vertical="center"/>
    </xf>
    <xf numFmtId="0" fontId="1" fillId="18" borderId="0" xfId="0" applyFont="1" applyFill="1" applyBorder="1" applyAlignment="1">
      <alignment horizontal="center" vertical="center"/>
    </xf>
    <xf numFmtId="0" fontId="2" fillId="19" borderId="0" xfId="0" applyFont="1" applyFill="1" applyAlignment="1">
      <alignment horizontal="center" vertical="center"/>
    </xf>
  </cellXfs>
  <cellStyles count="1">
    <cellStyle name="Normal" xfId="0" builtinId="0"/>
  </cellStyles>
  <dxfs count="46">
    <dxf>
      <numFmt numFmtId="165" formatCode="0.0%"/>
    </dxf>
    <dxf>
      <numFmt numFmtId="165" formatCode="0.0%"/>
    </dxf>
    <dxf>
      <numFmt numFmtId="165" formatCode="0.0%"/>
    </dxf>
    <dxf>
      <numFmt numFmtId="166" formatCode="0.0"/>
    </dxf>
    <dxf>
      <numFmt numFmtId="165" formatCode="0.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3" formatCode="#,##0"/>
    </dxf>
    <dxf>
      <numFmt numFmtId="3" formatCode="#,##0"/>
    </dxf>
    <dxf>
      <numFmt numFmtId="3" formatCode="#,##0"/>
    </dxf>
    <dxf>
      <numFmt numFmtId="4" formatCode="#,##0.00"/>
    </dxf>
    <dxf>
      <numFmt numFmtId="4" formatCode="#,##0.00"/>
    </dxf>
    <dxf>
      <numFmt numFmtId="3" formatCode="#,##0"/>
    </dxf>
    <dxf>
      <numFmt numFmtId="164" formatCode="dd/mmm/yyyy"/>
    </dxf>
    <dxf>
      <numFmt numFmtId="164" formatCode="dd/mmm/yyyy"/>
    </dxf>
    <dxf>
      <numFmt numFmtId="164" formatCode="dd/mmm/yyyy"/>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numFmt numFmtId="19" formatCode="dd/mm/yyyy"/>
    </dxf>
    <dxf>
      <font>
        <b val="0"/>
        <i val="0"/>
        <strike val="0"/>
        <condense val="0"/>
        <extend val="0"/>
        <outline val="0"/>
        <shadow val="0"/>
        <u val="none"/>
        <vertAlign val="baseline"/>
        <sz val="8"/>
        <color theme="1"/>
        <name val="Aptos Narrow"/>
        <family val="2"/>
        <scheme val="minor"/>
      </font>
      <numFmt numFmtId="19" formatCode="dd/mm/yyyy"/>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dxf>
    <dxf>
      <font>
        <b val="0"/>
        <i val="0"/>
        <strike val="0"/>
        <condense val="0"/>
        <extend val="0"/>
        <outline val="0"/>
        <shadow val="0"/>
        <u val="none"/>
        <vertAlign val="baseline"/>
        <sz val="8"/>
        <color theme="1"/>
        <name val="Aptos Narrow"/>
        <family val="2"/>
        <scheme val="minor"/>
      </font>
      <numFmt numFmtId="19" formatCode="dd/mm/yyyy"/>
    </dxf>
    <dxf>
      <font>
        <b val="0"/>
        <i val="0"/>
        <strike val="0"/>
        <condense val="0"/>
        <extend val="0"/>
        <outline val="0"/>
        <shadow val="0"/>
        <u val="none"/>
        <vertAlign val="baseline"/>
        <sz val="8"/>
        <color theme="1"/>
        <name val="Aptos Narrow"/>
        <family val="2"/>
        <scheme val="minor"/>
      </font>
    </dxf>
  </dxfs>
  <tableStyles count="1" defaultTableStyle="TableStyleMedium2" defaultPivotStyle="PivotStyleLight16">
    <tableStyle name="Invisible" pivot="0" table="0" count="0" xr9:uid="{2A25A2AC-D910-4DC4-B3BF-CFB889EA045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[VSCN Practise.xlsx]Dashboard Pivots!ptDelivery</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Orders by Delivery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 Pivots'!$B$15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Pivots'!$A$16:$A$18</c:f>
              <c:strCache>
                <c:ptCount val="2"/>
                <c:pt idx="0">
                  <c:v>Delayed</c:v>
                </c:pt>
                <c:pt idx="1">
                  <c:v>On Time</c:v>
                </c:pt>
              </c:strCache>
            </c:strRef>
          </c:cat>
          <c:val>
            <c:numRef>
              <c:f>'Dashboard Pivots'!$B$16:$B$18</c:f>
              <c:numCache>
                <c:formatCode>General</c:formatCode>
                <c:ptCount val="2"/>
                <c:pt idx="0">
                  <c:v>12</c:v>
                </c:pt>
                <c:pt idx="1">
                  <c:v>18</c:v>
                </c:pt>
              </c:numCache>
            </c:numRef>
          </c:val>
          <c:extLst>
            <c:ext xmlns:c16="http://schemas.microsoft.com/office/drawing/2014/chart" uri="{C3380CC4-5D6E-409C-BE32-E72D297353CC}">
              <c16:uniqueId val="{00000000-62CD-4CC7-8871-22C52F14F5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[VSCN Practise.xlsx]Dashboard Pivots!ptSupplier</c:name>
    <c:fmtId val="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Supplier On-Time Performance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B9BD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Pivots'!$B$30</c:f>
              <c:strCache>
                <c:ptCount val="1"/>
                <c:pt idx="0">
                  <c:v>Total</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Pivots'!$A$31:$A$41</c:f>
              <c:strCache>
                <c:ptCount val="10"/>
                <c:pt idx="0">
                  <c:v>AsiaLogix</c:v>
                </c:pt>
                <c:pt idx="1">
                  <c:v>Dragon Supply Co.</c:v>
                </c:pt>
                <c:pt idx="2">
                  <c:v>Horizon Packaging</c:v>
                </c:pt>
                <c:pt idx="3">
                  <c:v>IndoTrade Solutions</c:v>
                </c:pt>
                <c:pt idx="4">
                  <c:v>Korea Industrial Co.</c:v>
                </c:pt>
                <c:pt idx="5">
                  <c:v>Mekong Distribution</c:v>
                </c:pt>
                <c:pt idx="6">
                  <c:v>Nippon Industrial</c:v>
                </c:pt>
                <c:pt idx="7">
                  <c:v>Pacific Source</c:v>
                </c:pt>
                <c:pt idx="8">
                  <c:v>Siam Components</c:v>
                </c:pt>
                <c:pt idx="9">
                  <c:v>VinaTech Supplies</c:v>
                </c:pt>
              </c:strCache>
            </c:strRef>
          </c:cat>
          <c:val>
            <c:numRef>
              <c:f>'Dashboard Pivots'!$B$31:$B$41</c:f>
              <c:numCache>
                <c:formatCode>0.0%</c:formatCode>
                <c:ptCount val="10"/>
                <c:pt idx="0">
                  <c:v>0</c:v>
                </c:pt>
                <c:pt idx="1">
                  <c:v>1</c:v>
                </c:pt>
                <c:pt idx="2">
                  <c:v>0.5</c:v>
                </c:pt>
                <c:pt idx="3">
                  <c:v>0.75</c:v>
                </c:pt>
                <c:pt idx="4">
                  <c:v>0.33333333333333331</c:v>
                </c:pt>
                <c:pt idx="5">
                  <c:v>0</c:v>
                </c:pt>
                <c:pt idx="6">
                  <c:v>0.66666666666666663</c:v>
                </c:pt>
                <c:pt idx="7">
                  <c:v>0.6</c:v>
                </c:pt>
                <c:pt idx="8">
                  <c:v>1</c:v>
                </c:pt>
                <c:pt idx="9">
                  <c:v>0.25</c:v>
                </c:pt>
              </c:numCache>
            </c:numRef>
          </c:val>
          <c:extLst>
            <c:ext xmlns:c16="http://schemas.microsoft.com/office/drawing/2014/chart" uri="{C3380CC4-5D6E-409C-BE32-E72D297353CC}">
              <c16:uniqueId val="{00000000-A067-450B-8631-30EB6D6FD57B}"/>
            </c:ext>
          </c:extLst>
        </c:ser>
        <c:dLbls>
          <c:showLegendKey val="0"/>
          <c:showVal val="0"/>
          <c:showCatName val="0"/>
          <c:showSerName val="0"/>
          <c:showPercent val="0"/>
          <c:showBubbleSize val="0"/>
        </c:dLbls>
        <c:gapWidth val="182"/>
        <c:axId val="1098014223"/>
        <c:axId val="655007855"/>
      </c:barChart>
      <c:catAx>
        <c:axId val="10980142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007855"/>
        <c:crosses val="autoZero"/>
        <c:auto val="1"/>
        <c:lblAlgn val="ctr"/>
        <c:lblOffset val="100"/>
        <c:noMultiLvlLbl val="0"/>
      </c:catAx>
      <c:valAx>
        <c:axId val="655007855"/>
        <c:scaling>
          <c:orientation val="minMax"/>
          <c:max val="1"/>
          <c:min val="0"/>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01422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[VSCN Practise.xlsx]Dashboard Pivots!ptCategory</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Order Value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F5597"/>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Pivots'!$B$50</c:f>
              <c:strCache>
                <c:ptCount val="1"/>
                <c:pt idx="0">
                  <c:v>Total</c:v>
                </c:pt>
              </c:strCache>
            </c:strRef>
          </c:tx>
          <c:spPr>
            <a:solidFill>
              <a:srgbClr val="2F5597"/>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Pivots'!$A$51:$A$57</c:f>
              <c:strCache>
                <c:ptCount val="6"/>
                <c:pt idx="0">
                  <c:v>Electronics</c:v>
                </c:pt>
                <c:pt idx="1">
                  <c:v>Material Handling</c:v>
                </c:pt>
                <c:pt idx="2">
                  <c:v>Packaging</c:v>
                </c:pt>
                <c:pt idx="3">
                  <c:v>Safety</c:v>
                </c:pt>
                <c:pt idx="4">
                  <c:v>Technology</c:v>
                </c:pt>
                <c:pt idx="5">
                  <c:v>Warehouse Equipment</c:v>
                </c:pt>
              </c:strCache>
            </c:strRef>
          </c:cat>
          <c:val>
            <c:numRef>
              <c:f>'Dashboard Pivots'!$B$51:$B$57</c:f>
              <c:numCache>
                <c:formatCode>#,##0.00</c:formatCode>
                <c:ptCount val="6"/>
                <c:pt idx="0">
                  <c:v>470670</c:v>
                </c:pt>
                <c:pt idx="1">
                  <c:v>295680</c:v>
                </c:pt>
                <c:pt idx="2">
                  <c:v>7276.5</c:v>
                </c:pt>
                <c:pt idx="3">
                  <c:v>38682</c:v>
                </c:pt>
                <c:pt idx="4">
                  <c:v>101.6</c:v>
                </c:pt>
                <c:pt idx="5">
                  <c:v>192436</c:v>
                </c:pt>
              </c:numCache>
            </c:numRef>
          </c:val>
          <c:extLst>
            <c:ext xmlns:c16="http://schemas.microsoft.com/office/drawing/2014/chart" uri="{C3380CC4-5D6E-409C-BE32-E72D297353CC}">
              <c16:uniqueId val="{00000000-6275-4465-B853-D6B8D5A44FB6}"/>
            </c:ext>
          </c:extLst>
        </c:ser>
        <c:dLbls>
          <c:showLegendKey val="0"/>
          <c:showVal val="0"/>
          <c:showCatName val="0"/>
          <c:showSerName val="0"/>
          <c:showPercent val="0"/>
          <c:showBubbleSize val="0"/>
        </c:dLbls>
        <c:gapWidth val="219"/>
        <c:overlap val="-27"/>
        <c:axId val="1098026751"/>
        <c:axId val="655018415"/>
      </c:barChart>
      <c:catAx>
        <c:axId val="109802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018415"/>
        <c:crosses val="autoZero"/>
        <c:auto val="1"/>
        <c:lblAlgn val="ctr"/>
        <c:lblOffset val="100"/>
        <c:noMultiLvlLbl val="0"/>
      </c:catAx>
      <c:valAx>
        <c:axId val="655018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026751"/>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[VSCN Practise.xlsx]Dashboard Pivots!ptStock</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Stock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 Pivots'!$B$65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Pivots'!$A$66:$A$68</c:f>
              <c:strCache>
                <c:ptCount val="2"/>
                <c:pt idx="0">
                  <c:v>Healthy</c:v>
                </c:pt>
                <c:pt idx="1">
                  <c:v>Low Stock</c:v>
                </c:pt>
              </c:strCache>
            </c:strRef>
          </c:cat>
          <c:val>
            <c:numRef>
              <c:f>'Dashboard Pivots'!$B$66:$B$68</c:f>
              <c:numCache>
                <c:formatCode>General</c:formatCode>
                <c:ptCount val="2"/>
                <c:pt idx="0">
                  <c:v>20</c:v>
                </c:pt>
                <c:pt idx="1">
                  <c:v>10</c:v>
                </c:pt>
              </c:numCache>
            </c:numRef>
          </c:val>
          <c:extLst>
            <c:ext xmlns:c16="http://schemas.microsoft.com/office/drawing/2014/chart" uri="{C3380CC4-5D6E-409C-BE32-E72D297353CC}">
              <c16:uniqueId val="{00000000-A595-4766-8BF1-A4A9A31DAB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[VSCN Practise.xlsx]Dashboard Pivots!ptTransport</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Order Value by Transport Mode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AD47"/>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Pivots'!$B$80</c:f>
              <c:strCache>
                <c:ptCount val="1"/>
                <c:pt idx="0">
                  <c:v>Total</c:v>
                </c:pt>
              </c:strCache>
            </c:strRef>
          </c:tx>
          <c:spPr>
            <a:solidFill>
              <a:srgbClr val="70AD47"/>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Pivots'!$A$81:$A$85</c:f>
              <c:strCache>
                <c:ptCount val="4"/>
                <c:pt idx="0">
                  <c:v>Air</c:v>
                </c:pt>
                <c:pt idx="1">
                  <c:v>Rail</c:v>
                </c:pt>
                <c:pt idx="2">
                  <c:v>Road</c:v>
                </c:pt>
                <c:pt idx="3">
                  <c:v>Sea</c:v>
                </c:pt>
              </c:strCache>
            </c:strRef>
          </c:cat>
          <c:val>
            <c:numRef>
              <c:f>'Dashboard Pivots'!$B$81:$B$85</c:f>
              <c:numCache>
                <c:formatCode>#,##0.00</c:formatCode>
                <c:ptCount val="4"/>
                <c:pt idx="0">
                  <c:v>230683.6</c:v>
                </c:pt>
                <c:pt idx="1">
                  <c:v>400052</c:v>
                </c:pt>
                <c:pt idx="2">
                  <c:v>186186.5</c:v>
                </c:pt>
                <c:pt idx="3">
                  <c:v>187924</c:v>
                </c:pt>
              </c:numCache>
            </c:numRef>
          </c:val>
          <c:extLst>
            <c:ext xmlns:c16="http://schemas.microsoft.com/office/drawing/2014/chart" uri="{C3380CC4-5D6E-409C-BE32-E72D297353CC}">
              <c16:uniqueId val="{00000000-647A-40B1-AFF4-349D982F4F27}"/>
            </c:ext>
          </c:extLst>
        </c:ser>
        <c:dLbls>
          <c:showLegendKey val="0"/>
          <c:showVal val="0"/>
          <c:showCatName val="0"/>
          <c:showSerName val="0"/>
          <c:showPercent val="0"/>
          <c:showBubbleSize val="0"/>
        </c:dLbls>
        <c:gapWidth val="219"/>
        <c:overlap val="-27"/>
        <c:axId val="1098067119"/>
        <c:axId val="654929615"/>
      </c:barChart>
      <c:catAx>
        <c:axId val="109806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29615"/>
        <c:crosses val="autoZero"/>
        <c:auto val="1"/>
        <c:lblAlgn val="ctr"/>
        <c:lblOffset val="100"/>
        <c:noMultiLvlLbl val="0"/>
      </c:catAx>
      <c:valAx>
        <c:axId val="654929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06711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[VSCN Practise.xlsx]Dashboard Pivots!ptRegion</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On-Time Delivery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B9BD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Pivots'!$B$95</c:f>
              <c:strCache>
                <c:ptCount val="1"/>
                <c:pt idx="0">
                  <c:v>Total</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Pivots'!$A$96:$A$101</c:f>
              <c:strCache>
                <c:ptCount val="5"/>
                <c:pt idx="0">
                  <c:v>Malaysia</c:v>
                </c:pt>
                <c:pt idx="1">
                  <c:v>Philippines</c:v>
                </c:pt>
                <c:pt idx="2">
                  <c:v>Singapore</c:v>
                </c:pt>
                <c:pt idx="3">
                  <c:v>Thailand</c:v>
                </c:pt>
                <c:pt idx="4">
                  <c:v>Vietnam</c:v>
                </c:pt>
              </c:strCache>
            </c:strRef>
          </c:cat>
          <c:val>
            <c:numRef>
              <c:f>'Dashboard Pivots'!$B$96:$B$101</c:f>
              <c:numCache>
                <c:formatCode>0.0%</c:formatCode>
                <c:ptCount val="5"/>
                <c:pt idx="0">
                  <c:v>0.75</c:v>
                </c:pt>
                <c:pt idx="1">
                  <c:v>1</c:v>
                </c:pt>
                <c:pt idx="2">
                  <c:v>0.625</c:v>
                </c:pt>
                <c:pt idx="3">
                  <c:v>0.6</c:v>
                </c:pt>
                <c:pt idx="4">
                  <c:v>0.45454545454545453</c:v>
                </c:pt>
              </c:numCache>
            </c:numRef>
          </c:val>
          <c:extLst>
            <c:ext xmlns:c16="http://schemas.microsoft.com/office/drawing/2014/chart" uri="{C3380CC4-5D6E-409C-BE32-E72D297353CC}">
              <c16:uniqueId val="{00000000-F718-4F5A-A482-31B21DDFCBF3}"/>
            </c:ext>
          </c:extLst>
        </c:ser>
        <c:dLbls>
          <c:showLegendKey val="0"/>
          <c:showVal val="0"/>
          <c:showCatName val="0"/>
          <c:showSerName val="0"/>
          <c:showPercent val="0"/>
          <c:showBubbleSize val="0"/>
        </c:dLbls>
        <c:gapWidth val="182"/>
        <c:axId val="1097988703"/>
        <c:axId val="654940175"/>
      </c:barChart>
      <c:catAx>
        <c:axId val="10979887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40175"/>
        <c:crosses val="autoZero"/>
        <c:auto val="1"/>
        <c:lblAlgn val="ctr"/>
        <c:lblOffset val="100"/>
        <c:noMultiLvlLbl val="0"/>
      </c:catAx>
      <c:valAx>
        <c:axId val="654940175"/>
        <c:scaling>
          <c:orientation val="minMax"/>
          <c:max val="1"/>
          <c:min val="0"/>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98870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[VSCN Practise.xlsx]Dashboard Pivots!ptWarehouse</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a:t>Low Stock Risk by Warehouse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D7D3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'Dashboard Pivots'!$B$110</c:f>
              <c:strCache>
                <c:ptCount val="1"/>
                <c:pt idx="0">
                  <c:v>On-Time %</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Pivots'!$A$111:$A$117</c:f>
              <c:strCache>
                <c:ptCount val="6"/>
                <c:pt idx="0">
                  <c:v>Bangkok DC</c:v>
                </c:pt>
                <c:pt idx="1">
                  <c:v>Hanoi DC</c:v>
                </c:pt>
                <c:pt idx="2">
                  <c:v>Ho Chi Minh DC</c:v>
                </c:pt>
                <c:pt idx="3">
                  <c:v>Kuala Lumpur DC</c:v>
                </c:pt>
                <c:pt idx="4">
                  <c:v>Mumbai DC</c:v>
                </c:pt>
                <c:pt idx="5">
                  <c:v>Singapore Hub</c:v>
                </c:pt>
              </c:strCache>
            </c:strRef>
          </c:cat>
          <c:val>
            <c:numRef>
              <c:f>'Dashboard Pivots'!$B$111:$B$117</c:f>
              <c:numCache>
                <c:formatCode>0.0%</c:formatCode>
                <c:ptCount val="6"/>
                <c:pt idx="0">
                  <c:v>0.6</c:v>
                </c:pt>
                <c:pt idx="1">
                  <c:v>0.5</c:v>
                </c:pt>
                <c:pt idx="2">
                  <c:v>0.8</c:v>
                </c:pt>
                <c:pt idx="3">
                  <c:v>0.25</c:v>
                </c:pt>
                <c:pt idx="4">
                  <c:v>0.66666666666666663</c:v>
                </c:pt>
                <c:pt idx="5">
                  <c:v>0.75</c:v>
                </c:pt>
              </c:numCache>
            </c:numRef>
          </c:val>
          <c:extLst>
            <c:ext xmlns:c16="http://schemas.microsoft.com/office/drawing/2014/chart" uri="{C3380CC4-5D6E-409C-BE32-E72D297353CC}">
              <c16:uniqueId val="{00000001-6BFD-4A37-BE13-02C8E8D9848B}"/>
            </c:ext>
          </c:extLst>
        </c:ser>
        <c:ser>
          <c:idx val="0"/>
          <c:order val="1"/>
          <c:tx>
            <c:strRef>
              <c:f>'Dashboard Pivots'!$C$110</c:f>
              <c:strCache>
                <c:ptCount val="1"/>
                <c:pt idx="0">
                  <c:v>Low Stock</c:v>
                </c:pt>
              </c:strCache>
            </c:strRef>
          </c:tx>
          <c:spPr>
            <a:solidFill>
              <a:srgbClr val="ED7D3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Pivots'!$A$111:$A$117</c:f>
              <c:strCache>
                <c:ptCount val="6"/>
                <c:pt idx="0">
                  <c:v>Bangkok DC</c:v>
                </c:pt>
                <c:pt idx="1">
                  <c:v>Hanoi DC</c:v>
                </c:pt>
                <c:pt idx="2">
                  <c:v>Ho Chi Minh DC</c:v>
                </c:pt>
                <c:pt idx="3">
                  <c:v>Kuala Lumpur DC</c:v>
                </c:pt>
                <c:pt idx="4">
                  <c:v>Mumbai DC</c:v>
                </c:pt>
                <c:pt idx="5">
                  <c:v>Singapore Hub</c:v>
                </c:pt>
              </c:strCache>
            </c:strRef>
          </c:cat>
          <c:val>
            <c:numRef>
              <c:f>'Dashboard Pivots'!$C$111:$C$117</c:f>
              <c:numCache>
                <c:formatCode>0</c:formatCode>
                <c:ptCount val="6"/>
                <c:pt idx="0">
                  <c:v>4</c:v>
                </c:pt>
                <c:pt idx="1">
                  <c:v>3</c:v>
                </c:pt>
                <c:pt idx="2">
                  <c:v>0</c:v>
                </c:pt>
                <c:pt idx="3">
                  <c:v>1</c:v>
                </c:pt>
                <c:pt idx="4">
                  <c:v>1</c:v>
                </c:pt>
                <c:pt idx="5">
                  <c:v>1</c:v>
                </c:pt>
              </c:numCache>
            </c:numRef>
          </c:val>
          <c:extLst>
            <c:ext xmlns:c16="http://schemas.microsoft.com/office/drawing/2014/chart" uri="{C3380CC4-5D6E-409C-BE32-E72D297353CC}">
              <c16:uniqueId val="{00000003-6BFD-4A37-BE13-02C8E8D9848B}"/>
            </c:ext>
          </c:extLst>
        </c:ser>
        <c:dLbls>
          <c:showLegendKey val="0"/>
          <c:showVal val="0"/>
          <c:showCatName val="0"/>
          <c:showSerName val="0"/>
          <c:showPercent val="0"/>
          <c:showBubbleSize val="0"/>
        </c:dLbls>
        <c:gapWidth val="182"/>
        <c:axId val="1097874095"/>
        <c:axId val="654959375"/>
      </c:barChart>
      <c:catAx>
        <c:axId val="10978740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59375"/>
        <c:crosses val="autoZero"/>
        <c:auto val="1"/>
        <c:lblAlgn val="ctr"/>
        <c:lblOffset val="100"/>
        <c:noMultiLvlLbl val="0"/>
      </c:catAx>
      <c:valAx>
        <c:axId val="654959375"/>
        <c:scaling>
          <c:orientation val="minMax"/>
        </c:scaling>
        <c:delete val="0"/>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7409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8</xdr:col>
      <xdr:colOff>0</xdr:colOff>
      <xdr:row>25</xdr:row>
      <xdr:rowOff>0</xdr:rowOff>
    </xdr:to>
    <xdr:graphicFrame macro="">
      <xdr:nvGraphicFramePr>
        <xdr:cNvPr id="5" name="Delivery_Status">
          <a:extLst>
            <a:ext uri="{FF2B5EF4-FFF2-40B4-BE49-F238E27FC236}">
              <a16:creationId xmlns:a16="http://schemas.microsoft.com/office/drawing/2014/main" id="{F0F31224-D2C1-DC1F-143A-D3F314EDA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0</xdr:rowOff>
    </xdr:from>
    <xdr:to>
      <xdr:col>16</xdr:col>
      <xdr:colOff>0</xdr:colOff>
      <xdr:row>25</xdr:row>
      <xdr:rowOff>0</xdr:rowOff>
    </xdr:to>
    <xdr:graphicFrame macro="">
      <xdr:nvGraphicFramePr>
        <xdr:cNvPr id="6" name="Supplier_Performance">
          <a:extLst>
            <a:ext uri="{FF2B5EF4-FFF2-40B4-BE49-F238E27FC236}">
              <a16:creationId xmlns:a16="http://schemas.microsoft.com/office/drawing/2014/main" id="{77AD2143-B5A8-7EF7-E11C-D8BF3A6EB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10</xdr:row>
      <xdr:rowOff>0</xdr:rowOff>
    </xdr:from>
    <xdr:to>
      <xdr:col>24</xdr:col>
      <xdr:colOff>0</xdr:colOff>
      <xdr:row>25</xdr:row>
      <xdr:rowOff>0</xdr:rowOff>
    </xdr:to>
    <xdr:graphicFrame macro="">
      <xdr:nvGraphicFramePr>
        <xdr:cNvPr id="7" name="Category_Value">
          <a:extLst>
            <a:ext uri="{FF2B5EF4-FFF2-40B4-BE49-F238E27FC236}">
              <a16:creationId xmlns:a16="http://schemas.microsoft.com/office/drawing/2014/main" id="{A43AAE81-1135-7EA2-CD4D-1DE75A4F8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0</xdr:rowOff>
    </xdr:from>
    <xdr:to>
      <xdr:col>6</xdr:col>
      <xdr:colOff>0</xdr:colOff>
      <xdr:row>42</xdr:row>
      <xdr:rowOff>0</xdr:rowOff>
    </xdr:to>
    <xdr:graphicFrame macro="">
      <xdr:nvGraphicFramePr>
        <xdr:cNvPr id="8" name="Stock_Status">
          <a:extLst>
            <a:ext uri="{FF2B5EF4-FFF2-40B4-BE49-F238E27FC236}">
              <a16:creationId xmlns:a16="http://schemas.microsoft.com/office/drawing/2014/main" id="{312C955D-9D95-A21F-63B7-6A7CE4CD6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27</xdr:row>
      <xdr:rowOff>0</xdr:rowOff>
    </xdr:from>
    <xdr:to>
      <xdr:col>12</xdr:col>
      <xdr:colOff>0</xdr:colOff>
      <xdr:row>42</xdr:row>
      <xdr:rowOff>0</xdr:rowOff>
    </xdr:to>
    <xdr:graphicFrame macro="">
      <xdr:nvGraphicFramePr>
        <xdr:cNvPr id="9" name="Transport_Value">
          <a:extLst>
            <a:ext uri="{FF2B5EF4-FFF2-40B4-BE49-F238E27FC236}">
              <a16:creationId xmlns:a16="http://schemas.microsoft.com/office/drawing/2014/main" id="{942C03AA-6ED2-EFCE-3C85-99F77FE4EE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27</xdr:row>
      <xdr:rowOff>0</xdr:rowOff>
    </xdr:from>
    <xdr:to>
      <xdr:col>18</xdr:col>
      <xdr:colOff>0</xdr:colOff>
      <xdr:row>42</xdr:row>
      <xdr:rowOff>0</xdr:rowOff>
    </xdr:to>
    <xdr:graphicFrame macro="">
      <xdr:nvGraphicFramePr>
        <xdr:cNvPr id="10" name="Region_OTD">
          <a:extLst>
            <a:ext uri="{FF2B5EF4-FFF2-40B4-BE49-F238E27FC236}">
              <a16:creationId xmlns:a16="http://schemas.microsoft.com/office/drawing/2014/main" id="{2F60B3C5-FC93-26B8-67C2-5620A3726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0</xdr:colOff>
      <xdr:row>27</xdr:row>
      <xdr:rowOff>0</xdr:rowOff>
    </xdr:from>
    <xdr:to>
      <xdr:col>24</xdr:col>
      <xdr:colOff>0</xdr:colOff>
      <xdr:row>42</xdr:row>
      <xdr:rowOff>0</xdr:rowOff>
    </xdr:to>
    <xdr:graphicFrame macro="">
      <xdr:nvGraphicFramePr>
        <xdr:cNvPr id="11" name="Warehouse_Risk">
          <a:extLst>
            <a:ext uri="{FF2B5EF4-FFF2-40B4-BE49-F238E27FC236}">
              <a16:creationId xmlns:a16="http://schemas.microsoft.com/office/drawing/2014/main" id="{0D5F80C0-2833-3A72-F3EB-82590BA2A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43</xdr:row>
      <xdr:rowOff>101600</xdr:rowOff>
    </xdr:from>
    <xdr:to>
      <xdr:col>3</xdr:col>
      <xdr:colOff>406400</xdr:colOff>
      <xdr:row>51</xdr:row>
      <xdr:rowOff>57150</xdr:rowOff>
    </xdr:to>
    <mc:AlternateContent xmlns:mc="http://schemas.openxmlformats.org/markup-compatibility/2006">
      <mc:Choice xmlns:a14="http://schemas.microsoft.com/office/drawing/2010/main" Requires="a14">
        <xdr:graphicFrame macro="">
          <xdr:nvGraphicFramePr>
            <xdr:cNvPr id="13" name="slSupplier">
              <a:extLst>
                <a:ext uri="{FF2B5EF4-FFF2-40B4-BE49-F238E27FC236}">
                  <a16:creationId xmlns:a16="http://schemas.microsoft.com/office/drawing/2014/main" id="{440677DE-D86A-AF64-CB2D-6898261CAD6B}"/>
                </a:ext>
              </a:extLst>
            </xdr:cNvPr>
            <xdr:cNvGraphicFramePr/>
          </xdr:nvGraphicFramePr>
          <xdr:xfrm>
            <a:off x="0" y="0"/>
            <a:ext cx="0" cy="0"/>
          </xdr:xfrm>
          <a:graphic>
            <a:graphicData uri="http://schemas.microsoft.com/office/drawing/2010/slicer">
              <sle:slicer xmlns:sle="http://schemas.microsoft.com/office/drawing/2010/slicer" name="slSupplier"/>
            </a:graphicData>
          </a:graphic>
        </xdr:graphicFrame>
      </mc:Choice>
      <mc:Fallback>
        <xdr:sp macro="" textlink="">
          <xdr:nvSpPr>
            <xdr:cNvPr id="0" name=""/>
            <xdr:cNvSpPr>
              <a:spLocks noTextEdit="1"/>
            </xdr:cNvSpPr>
          </xdr:nvSpPr>
          <xdr:spPr>
            <a:xfrm>
              <a:off x="0" y="9072418"/>
              <a:ext cx="1999673" cy="152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43</xdr:row>
      <xdr:rowOff>101600</xdr:rowOff>
    </xdr:from>
    <xdr:to>
      <xdr:col>7</xdr:col>
      <xdr:colOff>406400</xdr:colOff>
      <xdr:row>51</xdr:row>
      <xdr:rowOff>57150</xdr:rowOff>
    </xdr:to>
    <mc:AlternateContent xmlns:mc="http://schemas.openxmlformats.org/markup-compatibility/2006">
      <mc:Choice xmlns:a14="http://schemas.microsoft.com/office/drawing/2010/main" Requires="a14">
        <xdr:graphicFrame macro="">
          <xdr:nvGraphicFramePr>
            <xdr:cNvPr id="14" name="slRegion">
              <a:extLst>
                <a:ext uri="{FF2B5EF4-FFF2-40B4-BE49-F238E27FC236}">
                  <a16:creationId xmlns:a16="http://schemas.microsoft.com/office/drawing/2014/main" id="{75A893A8-7F11-C641-A9EA-D2736E17175E}"/>
                </a:ext>
              </a:extLst>
            </xdr:cNvPr>
            <xdr:cNvGraphicFramePr/>
          </xdr:nvGraphicFramePr>
          <xdr:xfrm>
            <a:off x="0" y="0"/>
            <a:ext cx="0" cy="0"/>
          </xdr:xfrm>
          <a:graphic>
            <a:graphicData uri="http://schemas.microsoft.com/office/drawing/2010/slicer">
              <sle:slicer xmlns:sle="http://schemas.microsoft.com/office/drawing/2010/slicer" name="slRegion"/>
            </a:graphicData>
          </a:graphic>
        </xdr:graphicFrame>
      </mc:Choice>
      <mc:Fallback>
        <xdr:sp macro="" textlink="">
          <xdr:nvSpPr>
            <xdr:cNvPr id="0" name=""/>
            <xdr:cNvSpPr>
              <a:spLocks noTextEdit="1"/>
            </xdr:cNvSpPr>
          </xdr:nvSpPr>
          <xdr:spPr>
            <a:xfrm>
              <a:off x="2124364" y="9072418"/>
              <a:ext cx="1999672" cy="152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43</xdr:row>
      <xdr:rowOff>101600</xdr:rowOff>
    </xdr:from>
    <xdr:to>
      <xdr:col>11</xdr:col>
      <xdr:colOff>406400</xdr:colOff>
      <xdr:row>51</xdr:row>
      <xdr:rowOff>57150</xdr:rowOff>
    </xdr:to>
    <mc:AlternateContent xmlns:mc="http://schemas.openxmlformats.org/markup-compatibility/2006">
      <mc:Choice xmlns:a14="http://schemas.microsoft.com/office/drawing/2010/main" Requires="a14">
        <xdr:graphicFrame macro="">
          <xdr:nvGraphicFramePr>
            <xdr:cNvPr id="15" name="slWarehouse">
              <a:extLst>
                <a:ext uri="{FF2B5EF4-FFF2-40B4-BE49-F238E27FC236}">
                  <a16:creationId xmlns:a16="http://schemas.microsoft.com/office/drawing/2014/main" id="{4EFE4128-7D3E-E9A4-CE30-3DFC308BAD7C}"/>
                </a:ext>
              </a:extLst>
            </xdr:cNvPr>
            <xdr:cNvGraphicFramePr/>
          </xdr:nvGraphicFramePr>
          <xdr:xfrm>
            <a:off x="0" y="0"/>
            <a:ext cx="0" cy="0"/>
          </xdr:xfrm>
          <a:graphic>
            <a:graphicData uri="http://schemas.microsoft.com/office/drawing/2010/slicer">
              <sle:slicer xmlns:sle="http://schemas.microsoft.com/office/drawing/2010/slicer" name="slWarehouse"/>
            </a:graphicData>
          </a:graphic>
        </xdr:graphicFrame>
      </mc:Choice>
      <mc:Fallback>
        <xdr:sp macro="" textlink="">
          <xdr:nvSpPr>
            <xdr:cNvPr id="0" name=""/>
            <xdr:cNvSpPr>
              <a:spLocks noTextEdit="1"/>
            </xdr:cNvSpPr>
          </xdr:nvSpPr>
          <xdr:spPr>
            <a:xfrm>
              <a:off x="4248727" y="9072418"/>
              <a:ext cx="1999673" cy="152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43</xdr:row>
      <xdr:rowOff>101600</xdr:rowOff>
    </xdr:from>
    <xdr:to>
      <xdr:col>15</xdr:col>
      <xdr:colOff>406400</xdr:colOff>
      <xdr:row>51</xdr:row>
      <xdr:rowOff>57150</xdr:rowOff>
    </xdr:to>
    <mc:AlternateContent xmlns:mc="http://schemas.openxmlformats.org/markup-compatibility/2006">
      <mc:Choice xmlns:a14="http://schemas.microsoft.com/office/drawing/2010/main" Requires="a14">
        <xdr:graphicFrame macro="">
          <xdr:nvGraphicFramePr>
            <xdr:cNvPr id="16" name="slCategory">
              <a:extLst>
                <a:ext uri="{FF2B5EF4-FFF2-40B4-BE49-F238E27FC236}">
                  <a16:creationId xmlns:a16="http://schemas.microsoft.com/office/drawing/2014/main" id="{AA8E4376-C7BA-554C-A955-C2EC0821A0B7}"/>
                </a:ext>
              </a:extLst>
            </xdr:cNvPr>
            <xdr:cNvGraphicFramePr/>
          </xdr:nvGraphicFramePr>
          <xdr:xfrm>
            <a:off x="0" y="0"/>
            <a:ext cx="0" cy="0"/>
          </xdr:xfrm>
          <a:graphic>
            <a:graphicData uri="http://schemas.microsoft.com/office/drawing/2010/slicer">
              <sle:slicer xmlns:sle="http://schemas.microsoft.com/office/drawing/2010/slicer" name="slCategory"/>
            </a:graphicData>
          </a:graphic>
        </xdr:graphicFrame>
      </mc:Choice>
      <mc:Fallback>
        <xdr:sp macro="" textlink="">
          <xdr:nvSpPr>
            <xdr:cNvPr id="0" name=""/>
            <xdr:cNvSpPr>
              <a:spLocks noTextEdit="1"/>
            </xdr:cNvSpPr>
          </xdr:nvSpPr>
          <xdr:spPr>
            <a:xfrm>
              <a:off x="6373091" y="9072418"/>
              <a:ext cx="1999673" cy="152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43</xdr:row>
      <xdr:rowOff>101600</xdr:rowOff>
    </xdr:from>
    <xdr:to>
      <xdr:col>19</xdr:col>
      <xdr:colOff>406400</xdr:colOff>
      <xdr:row>51</xdr:row>
      <xdr:rowOff>57150</xdr:rowOff>
    </xdr:to>
    <mc:AlternateContent xmlns:mc="http://schemas.openxmlformats.org/markup-compatibility/2006">
      <mc:Choice xmlns:a14="http://schemas.microsoft.com/office/drawing/2010/main" Requires="a14">
        <xdr:graphicFrame macro="">
          <xdr:nvGraphicFramePr>
            <xdr:cNvPr id="17" name="slTransport">
              <a:extLst>
                <a:ext uri="{FF2B5EF4-FFF2-40B4-BE49-F238E27FC236}">
                  <a16:creationId xmlns:a16="http://schemas.microsoft.com/office/drawing/2014/main" id="{2EB6CADE-E0B8-2820-946E-32E8FFBF33EE}"/>
                </a:ext>
              </a:extLst>
            </xdr:cNvPr>
            <xdr:cNvGraphicFramePr/>
          </xdr:nvGraphicFramePr>
          <xdr:xfrm>
            <a:off x="0" y="0"/>
            <a:ext cx="0" cy="0"/>
          </xdr:xfrm>
          <a:graphic>
            <a:graphicData uri="http://schemas.microsoft.com/office/drawing/2010/slicer">
              <sle:slicer xmlns:sle="http://schemas.microsoft.com/office/drawing/2010/slicer" name="slTransport"/>
            </a:graphicData>
          </a:graphic>
        </xdr:graphicFrame>
      </mc:Choice>
      <mc:Fallback>
        <xdr:sp macro="" textlink="">
          <xdr:nvSpPr>
            <xdr:cNvPr id="0" name=""/>
            <xdr:cNvSpPr>
              <a:spLocks noTextEdit="1"/>
            </xdr:cNvSpPr>
          </xdr:nvSpPr>
          <xdr:spPr>
            <a:xfrm>
              <a:off x="8497455" y="9072418"/>
              <a:ext cx="1999672" cy="152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43</xdr:row>
      <xdr:rowOff>101600</xdr:rowOff>
    </xdr:from>
    <xdr:to>
      <xdr:col>23</xdr:col>
      <xdr:colOff>406400</xdr:colOff>
      <xdr:row>51</xdr:row>
      <xdr:rowOff>57150</xdr:rowOff>
    </xdr:to>
    <mc:AlternateContent xmlns:mc="http://schemas.openxmlformats.org/markup-compatibility/2006">
      <mc:Choice xmlns:a14="http://schemas.microsoft.com/office/drawing/2010/main" Requires="a14">
        <xdr:graphicFrame macro="">
          <xdr:nvGraphicFramePr>
            <xdr:cNvPr id="18" name="slDelivery">
              <a:extLst>
                <a:ext uri="{FF2B5EF4-FFF2-40B4-BE49-F238E27FC236}">
                  <a16:creationId xmlns:a16="http://schemas.microsoft.com/office/drawing/2014/main" id="{BB4A8331-AD0A-229B-6635-7521998C5171}"/>
                </a:ext>
              </a:extLst>
            </xdr:cNvPr>
            <xdr:cNvGraphicFramePr/>
          </xdr:nvGraphicFramePr>
          <xdr:xfrm>
            <a:off x="0" y="0"/>
            <a:ext cx="0" cy="0"/>
          </xdr:xfrm>
          <a:graphic>
            <a:graphicData uri="http://schemas.microsoft.com/office/drawing/2010/slicer">
              <sle:slicer xmlns:sle="http://schemas.microsoft.com/office/drawing/2010/slicer" name="slDelivery"/>
            </a:graphicData>
          </a:graphic>
        </xdr:graphicFrame>
      </mc:Choice>
      <mc:Fallback>
        <xdr:sp macro="" textlink="">
          <xdr:nvSpPr>
            <xdr:cNvPr id="0" name=""/>
            <xdr:cNvSpPr>
              <a:spLocks noTextEdit="1"/>
            </xdr:cNvSpPr>
          </xdr:nvSpPr>
          <xdr:spPr>
            <a:xfrm>
              <a:off x="10621818" y="9072418"/>
              <a:ext cx="1999673" cy="152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 Vinod W" refreshedDate="46264.828201504628" createdVersion="8" refreshedVersion="8" minRefreshableVersion="3" recordCount="30" xr:uid="{6F2CE7A2-3620-4F7B-9807-FB8D7FD16C8B}">
  <cacheSource type="worksheet">
    <worksheetSource name="VSCN_Clean"/>
  </cacheSource>
  <cacheFields count="30">
    <cacheField name="Order ID" numFmtId="0">
      <sharedItems/>
    </cacheField>
    <cacheField name="Order Date" numFmtId="164">
      <sharedItems containsSemiMixedTypes="0" containsNonDate="0" containsDate="1" containsString="0" minDate="2026-07-01T00:00:00" maxDate="2026-08-14T00:00:00"/>
    </cacheField>
    <cacheField name="Customer / Contact" numFmtId="0">
      <sharedItems/>
    </cacheField>
    <cacheField name="Product" numFmtId="0">
      <sharedItems/>
    </cacheField>
    <cacheField name="Category" numFmtId="0">
      <sharedItems count="6">
        <s v="Warehouse Equipment"/>
        <s v="Material Handling"/>
        <s v="Packaging"/>
        <s v="Safety"/>
        <s v="Electronics"/>
        <s v="Technology"/>
      </sharedItems>
    </cacheField>
    <cacheField name="Supplier" numFmtId="0">
      <sharedItems count="10">
        <s v="Pacific Source"/>
        <s v="VinaTech Supplies"/>
        <s v="Mekong Distribution"/>
        <s v="Korea Industrial Co."/>
        <s v="IndoTrade Solutions"/>
        <s v="Dragon Supply Co."/>
        <s v="Siam Components"/>
        <s v="Nippon Industrial"/>
        <s v="Horizon Packaging"/>
        <s v="AsiaLogix"/>
      </sharedItems>
    </cacheField>
    <cacheField name="Origin" numFmtId="0">
      <sharedItems/>
    </cacheField>
    <cacheField name="Destination" numFmtId="0">
      <sharedItems/>
    </cacheField>
    <cacheField name="Region" numFmtId="0">
      <sharedItems count="5">
        <s v="Vietnam"/>
        <s v="Singapore"/>
        <s v="Thailand"/>
        <s v="Malaysia"/>
        <s v="Philippines"/>
      </sharedItems>
    </cacheField>
    <cacheField name="Warehouse" numFmtId="0">
      <sharedItems count="6">
        <s v="Ho Chi Minh DC"/>
        <s v="Bangkok DC"/>
        <s v="Hanoi DC"/>
        <s v="Kuala Lumpur DC"/>
        <s v="Singapore Hub"/>
        <s v="Mumbai DC"/>
      </sharedItems>
    </cacheField>
    <cacheField name="Transport Mode" numFmtId="0">
      <sharedItems count="4">
        <s v="Air"/>
        <s v="Sea"/>
        <s v="Road"/>
        <s v="Rail"/>
      </sharedItems>
    </cacheField>
    <cacheField name="Quantity" numFmtId="3">
      <sharedItems containsSemiMixedTypes="0" containsString="0" containsNumber="1" containsInteger="1" minValue="21" maxValue="468"/>
    </cacheField>
    <cacheField name="Unit Cost" numFmtId="4">
      <sharedItems containsSemiMixedTypes="0" containsString="0" containsNumber="1" minValue="0.8" maxValue="650"/>
    </cacheField>
    <cacheField name="Order Value" numFmtId="4">
      <sharedItems containsSemiMixedTypes="0" containsString="0" containsNumber="1" minValue="101.6" maxValue="196560"/>
    </cacheField>
    <cacheField name="Current Stock" numFmtId="3">
      <sharedItems containsSemiMixedTypes="0" containsString="0" containsNumber="1" containsInteger="1" minValue="3" maxValue="390"/>
    </cacheField>
    <cacheField name="Reorder Level" numFmtId="3">
      <sharedItems containsSemiMixedTypes="0" containsString="0" containsNumber="1" containsInteger="1" minValue="50" maxValue="150"/>
    </cacheField>
    <cacheField name="Lead Time (Days)" numFmtId="3">
      <sharedItems containsSemiMixedTypes="0" containsString="0" containsNumber="1" containsInteger="1" minValue="3" maxValue="15"/>
    </cacheField>
    <cacheField name="Promised Date" numFmtId="164">
      <sharedItems containsSemiMixedTypes="0" containsNonDate="0" containsDate="1" containsString="0" minDate="2026-07-09T00:00:00" maxDate="2026-08-25T00:00:00"/>
    </cacheField>
    <cacheField name="Delivery Date" numFmtId="164">
      <sharedItems containsSemiMixedTypes="0" containsNonDate="0" containsDate="1" containsString="0" minDate="2026-07-09T00:00:00" maxDate="2026-08-27T00:00:00"/>
    </cacheField>
    <cacheField name="Delivery Status" numFmtId="0">
      <sharedItems count="2">
        <s v="Delayed"/>
        <s v="On Time"/>
      </sharedItems>
    </cacheField>
    <cacheField name="Delivery Delay Days" numFmtId="1">
      <sharedItems containsSemiMixedTypes="0" containsString="0" containsNumber="1" containsInteger="1" minValue="0" maxValue="5"/>
    </cacheField>
    <cacheField name="On-Time Flag" numFmtId="1">
      <sharedItems containsSemiMixedTypes="0" containsString="0" containsNumber="1" containsInteger="1" minValue="0" maxValue="1"/>
    </cacheField>
    <cacheField name="Delay Flag" numFmtId="1">
      <sharedItems containsSemiMixedTypes="0" containsString="0" containsNumber="1" containsInteger="1" minValue="0" maxValue="1"/>
    </cacheField>
    <cacheField name="Stock Status" numFmtId="0">
      <sharedItems count="2">
        <s v="Healthy"/>
        <s v="Low Stock"/>
      </sharedItems>
    </cacheField>
    <cacheField name="Stock-out Flag" numFmtId="1">
      <sharedItems containsSemiMixedTypes="0" containsString="0" containsNumber="1" containsInteger="1" minValue="0" maxValue="0"/>
    </cacheField>
    <cacheField name="Low Stock Flag" numFmtId="1">
      <sharedItems containsSemiMixedTypes="0" containsString="0" containsNumber="1" containsInteger="1" minValue="0" maxValue="1"/>
    </cacheField>
    <cacheField name="Healthy Stock Flag" numFmtId="1">
      <sharedItems containsSemiMixedTypes="0" containsString="0" containsNumber="1" containsInteger="1" minValue="0" maxValue="1"/>
    </cacheField>
    <cacheField name="Supplier On-Time %" numFmtId="165">
      <sharedItems containsSemiMixedTypes="0" containsString="0" containsNumber="1" minValue="0" maxValue="1"/>
    </cacheField>
    <cacheField name="Delivery Cycle Days" numFmtId="1">
      <sharedItems containsSemiMixedTypes="0" containsString="0" containsNumber="1" containsInteger="1" minValue="3" maxValue="20"/>
    </cacheField>
    <cacheField name="Stock Variance" numFmtId="1">
      <sharedItems containsSemiMixedTypes="0" containsString="0" containsNumber="1" containsInteger="1" minValue="-109" maxValue="315"/>
    </cacheField>
  </cacheFields>
  <extLst>
    <ext xmlns:x14="http://schemas.microsoft.com/office/spreadsheetml/2009/9/main" uri="{725AE2AE-9491-48be-B2B4-4EB974FC3084}">
      <x14:pivotCacheDefinition pivotCacheId="742766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SC-1001"/>
    <d v="2026-08-10T00:00:00"/>
    <s v="Nguyen Minh Anh"/>
    <s v="Barcode Scanner"/>
    <x v="0"/>
    <x v="0"/>
    <s v="Malaysia"/>
    <s v="Vietnam"/>
    <x v="0"/>
    <x v="0"/>
    <x v="0"/>
    <n v="32"/>
    <n v="180"/>
    <n v="5760"/>
    <n v="346"/>
    <n v="50"/>
    <n v="14"/>
    <d v="2026-08-24T00:00:00"/>
    <d v="2026-08-26T00:00:00"/>
    <x v="0"/>
    <n v="2"/>
    <n v="0"/>
    <n v="1"/>
    <x v="0"/>
    <n v="0"/>
    <n v="0"/>
    <n v="1"/>
    <n v="0.6"/>
    <n v="16"/>
    <n v="296"/>
  </r>
  <r>
    <s v="SC-1002"/>
    <d v="2026-07-06T00:00:00"/>
    <s v="Tran Quang Huy"/>
    <s v="Conveyor Belt"/>
    <x v="1"/>
    <x v="1"/>
    <s v="Vietnam"/>
    <s v="Singapore"/>
    <x v="1"/>
    <x v="0"/>
    <x v="1"/>
    <n v="236"/>
    <n v="420"/>
    <n v="99120"/>
    <n v="258"/>
    <n v="75"/>
    <n v="12"/>
    <d v="2026-07-18T00:00:00"/>
    <d v="2026-07-18T00:00:00"/>
    <x v="1"/>
    <n v="0"/>
    <n v="1"/>
    <n v="0"/>
    <x v="0"/>
    <n v="0"/>
    <n v="0"/>
    <n v="1"/>
    <n v="0.25"/>
    <n v="12"/>
    <n v="183"/>
  </r>
  <r>
    <s v="SC-1003"/>
    <d v="2026-08-05T00:00:00"/>
    <s v="Le Thi Mai"/>
    <s v="Packaging Box"/>
    <x v="2"/>
    <x v="2"/>
    <s v="Indonesia"/>
    <s v="Thailand"/>
    <x v="2"/>
    <x v="1"/>
    <x v="0"/>
    <n v="386"/>
    <n v="4.5"/>
    <n v="1737"/>
    <n v="142"/>
    <n v="150"/>
    <n v="15"/>
    <d v="2026-08-20T00:00:00"/>
    <d v="2026-08-25T00:00:00"/>
    <x v="0"/>
    <n v="5"/>
    <n v="0"/>
    <n v="1"/>
    <x v="1"/>
    <n v="0"/>
    <n v="1"/>
    <n v="0"/>
    <n v="0"/>
    <n v="20"/>
    <n v="-8"/>
  </r>
  <r>
    <s v="SC-1004"/>
    <d v="2026-07-01T00:00:00"/>
    <s v="Pham Hoang Nam"/>
    <s v="Safety Gloves"/>
    <x v="3"/>
    <x v="3"/>
    <s v="South Korea"/>
    <s v="Malaysia"/>
    <x v="3"/>
    <x v="0"/>
    <x v="2"/>
    <n v="377"/>
    <n v="12"/>
    <n v="4524"/>
    <n v="390"/>
    <n v="75"/>
    <n v="8"/>
    <d v="2026-07-09T00:00:00"/>
    <d v="2026-07-09T00:00:00"/>
    <x v="1"/>
    <n v="0"/>
    <n v="1"/>
    <n v="0"/>
    <x v="0"/>
    <n v="0"/>
    <n v="0"/>
    <n v="1"/>
    <n v="0.33333333333333331"/>
    <n v="8"/>
    <n v="315"/>
  </r>
  <r>
    <s v="SC-1005"/>
    <d v="2026-07-06T00:00:00"/>
    <s v="Arjun Mehta"/>
    <s v="Handheld Terminal"/>
    <x v="4"/>
    <x v="4"/>
    <s v="South Korea"/>
    <s v="Malaysia"/>
    <x v="3"/>
    <x v="2"/>
    <x v="2"/>
    <n v="69"/>
    <n v="320"/>
    <n v="22080"/>
    <n v="274"/>
    <n v="125"/>
    <n v="4"/>
    <d v="2026-07-10T00:00:00"/>
    <d v="2026-07-11T00:00:00"/>
    <x v="0"/>
    <n v="1"/>
    <n v="0"/>
    <n v="1"/>
    <x v="0"/>
    <n v="0"/>
    <n v="0"/>
    <n v="1"/>
    <n v="0.75"/>
    <n v="5"/>
    <n v="149"/>
  </r>
  <r>
    <s v="SC-1006"/>
    <d v="2026-07-06T00:00:00"/>
    <s v="Priya Nair"/>
    <s v="Safety Helmet"/>
    <x v="3"/>
    <x v="5"/>
    <s v="South Korea"/>
    <s v="Malaysia"/>
    <x v="3"/>
    <x v="3"/>
    <x v="0"/>
    <n v="170"/>
    <n v="18"/>
    <n v="3060"/>
    <n v="23"/>
    <n v="50"/>
    <n v="13"/>
    <d v="2026-07-19T00:00:00"/>
    <d v="2026-07-19T00:00:00"/>
    <x v="1"/>
    <n v="0"/>
    <n v="1"/>
    <n v="0"/>
    <x v="1"/>
    <n v="0"/>
    <n v="1"/>
    <n v="0"/>
    <n v="1"/>
    <n v="13"/>
    <n v="-27"/>
  </r>
  <r>
    <s v="SC-1007"/>
    <d v="2026-07-19T00:00:00"/>
    <s v="Rahul Sharma"/>
    <s v="Barcode Scanner"/>
    <x v="0"/>
    <x v="6"/>
    <s v="India"/>
    <s v="Vietnam"/>
    <x v="0"/>
    <x v="4"/>
    <x v="3"/>
    <n v="457"/>
    <n v="180"/>
    <n v="82260"/>
    <n v="325"/>
    <n v="125"/>
    <n v="8"/>
    <d v="2026-07-27T00:00:00"/>
    <d v="2026-07-27T00:00:00"/>
    <x v="1"/>
    <n v="0"/>
    <n v="1"/>
    <n v="0"/>
    <x v="0"/>
    <n v="0"/>
    <n v="0"/>
    <n v="1"/>
    <n v="1"/>
    <n v="8"/>
    <n v="200"/>
  </r>
  <r>
    <s v="SC-1008"/>
    <d v="2026-07-24T00:00:00"/>
    <s v="Ananya Iyer"/>
    <s v="RFID Labels"/>
    <x v="5"/>
    <x v="0"/>
    <s v="India"/>
    <s v="Vietnam"/>
    <x v="0"/>
    <x v="5"/>
    <x v="0"/>
    <n v="127"/>
    <n v="0.8"/>
    <n v="101.6"/>
    <n v="83"/>
    <n v="75"/>
    <n v="10"/>
    <d v="2026-08-03T00:00:00"/>
    <d v="2026-08-04T00:00:00"/>
    <x v="0"/>
    <n v="1"/>
    <n v="0"/>
    <n v="1"/>
    <x v="0"/>
    <n v="0"/>
    <n v="0"/>
    <n v="1"/>
    <n v="0.6"/>
    <n v="11"/>
    <n v="8"/>
  </r>
  <r>
    <s v="SC-1009"/>
    <d v="2026-07-18T00:00:00"/>
    <s v="Tan Wei Ming"/>
    <s v="Safety Helmet"/>
    <x v="3"/>
    <x v="4"/>
    <s v="Vietnam"/>
    <s v="Singapore"/>
    <x v="1"/>
    <x v="2"/>
    <x v="0"/>
    <n v="132"/>
    <n v="18"/>
    <n v="2376"/>
    <n v="205"/>
    <n v="100"/>
    <n v="7"/>
    <d v="2026-07-25T00:00:00"/>
    <d v="2026-07-25T00:00:00"/>
    <x v="1"/>
    <n v="0"/>
    <n v="1"/>
    <n v="0"/>
    <x v="0"/>
    <n v="0"/>
    <n v="0"/>
    <n v="1"/>
    <n v="0.75"/>
    <n v="7"/>
    <n v="105"/>
  </r>
  <r>
    <s v="SC-1010"/>
    <d v="2026-07-14T00:00:00"/>
    <s v="Lim Jia Hui"/>
    <s v="Conveyor Belt"/>
    <x v="1"/>
    <x v="4"/>
    <s v="Malaysia"/>
    <s v="Vietnam"/>
    <x v="0"/>
    <x v="1"/>
    <x v="3"/>
    <n v="468"/>
    <n v="420"/>
    <n v="196560"/>
    <n v="73"/>
    <n v="125"/>
    <n v="7"/>
    <d v="2026-07-21T00:00:00"/>
    <d v="2026-07-21T00:00:00"/>
    <x v="1"/>
    <n v="0"/>
    <n v="1"/>
    <n v="0"/>
    <x v="1"/>
    <n v="0"/>
    <n v="1"/>
    <n v="0"/>
    <n v="0.75"/>
    <n v="7"/>
    <n v="-52"/>
  </r>
  <r>
    <s v="SC-1011"/>
    <d v="2026-07-16T00:00:00"/>
    <s v="Siti Nur Aisyah"/>
    <s v="Safety Helmet"/>
    <x v="3"/>
    <x v="0"/>
    <s v="India"/>
    <s v="Singapore"/>
    <x v="1"/>
    <x v="5"/>
    <x v="3"/>
    <n v="295"/>
    <n v="18"/>
    <n v="5310"/>
    <n v="185"/>
    <n v="125"/>
    <n v="6"/>
    <d v="2026-07-22T00:00:00"/>
    <d v="2026-07-22T00:00:00"/>
    <x v="1"/>
    <n v="0"/>
    <n v="1"/>
    <n v="0"/>
    <x v="0"/>
    <n v="0"/>
    <n v="0"/>
    <n v="1"/>
    <n v="0.6"/>
    <n v="6"/>
    <n v="60"/>
  </r>
  <r>
    <s v="SC-1012"/>
    <d v="2026-08-02T00:00:00"/>
    <s v="Ahmad Faiz"/>
    <s v="Stretch Film"/>
    <x v="2"/>
    <x v="1"/>
    <s v="India"/>
    <s v="Vietnam"/>
    <x v="0"/>
    <x v="3"/>
    <x v="0"/>
    <n v="66"/>
    <n v="15"/>
    <n v="990"/>
    <n v="348"/>
    <n v="75"/>
    <n v="9"/>
    <d v="2026-08-11T00:00:00"/>
    <d v="2026-08-13T00:00:00"/>
    <x v="0"/>
    <n v="2"/>
    <n v="0"/>
    <n v="1"/>
    <x v="0"/>
    <n v="0"/>
    <n v="0"/>
    <n v="1"/>
    <n v="0.25"/>
    <n v="11"/>
    <n v="273"/>
  </r>
  <r>
    <s v="SC-1013"/>
    <d v="2026-07-05T00:00:00"/>
    <s v="Somchai Prasert"/>
    <s v="Handheld Terminal"/>
    <x v="4"/>
    <x v="5"/>
    <s v="Vietnam"/>
    <s v="Philippines"/>
    <x v="4"/>
    <x v="5"/>
    <x v="2"/>
    <n v="215"/>
    <n v="320"/>
    <n v="68800"/>
    <n v="348"/>
    <n v="50"/>
    <n v="14"/>
    <d v="2026-07-19T00:00:00"/>
    <d v="2026-07-19T00:00:00"/>
    <x v="1"/>
    <n v="0"/>
    <n v="1"/>
    <n v="0"/>
    <x v="0"/>
    <n v="0"/>
    <n v="0"/>
    <n v="1"/>
    <n v="1"/>
    <n v="14"/>
    <n v="298"/>
  </r>
  <r>
    <s v="SC-1014"/>
    <d v="2026-08-13T00:00:00"/>
    <s v="Nattapong Chai"/>
    <s v="Safety Helmet"/>
    <x v="3"/>
    <x v="0"/>
    <s v="South Korea"/>
    <s v="Malaysia"/>
    <x v="3"/>
    <x v="4"/>
    <x v="1"/>
    <n v="404"/>
    <n v="18"/>
    <n v="7272"/>
    <n v="80"/>
    <n v="125"/>
    <n v="10"/>
    <d v="2026-08-23T00:00:00"/>
    <d v="2026-08-23T00:00:00"/>
    <x v="1"/>
    <n v="0"/>
    <n v="1"/>
    <n v="0"/>
    <x v="1"/>
    <n v="0"/>
    <n v="1"/>
    <n v="0"/>
    <n v="0.6"/>
    <n v="10"/>
    <n v="-45"/>
  </r>
  <r>
    <s v="SC-1015"/>
    <d v="2026-07-17T00:00:00"/>
    <s v="Maria Santos"/>
    <s v="Safety Helmet"/>
    <x v="3"/>
    <x v="7"/>
    <s v="China"/>
    <s v="Vietnam"/>
    <x v="0"/>
    <x v="3"/>
    <x v="1"/>
    <n v="410"/>
    <n v="18"/>
    <n v="7380"/>
    <n v="327"/>
    <n v="100"/>
    <n v="11"/>
    <d v="2026-07-28T00:00:00"/>
    <d v="2026-07-30T00:00:00"/>
    <x v="0"/>
    <n v="2"/>
    <n v="0"/>
    <n v="1"/>
    <x v="0"/>
    <n v="0"/>
    <n v="0"/>
    <n v="1"/>
    <n v="0.66666666666666663"/>
    <n v="13"/>
    <n v="227"/>
  </r>
  <r>
    <s v="SC-1016"/>
    <d v="2026-07-13T00:00:00"/>
    <s v="Juan Dela Cruz"/>
    <s v="Safety Gloves"/>
    <x v="3"/>
    <x v="7"/>
    <s v="China"/>
    <s v="Vietnam"/>
    <x v="0"/>
    <x v="5"/>
    <x v="1"/>
    <n v="211"/>
    <n v="12"/>
    <n v="2532"/>
    <n v="250"/>
    <n v="100"/>
    <n v="3"/>
    <d v="2026-07-16T00:00:00"/>
    <d v="2026-07-16T00:00:00"/>
    <x v="1"/>
    <n v="0"/>
    <n v="1"/>
    <n v="0"/>
    <x v="0"/>
    <n v="0"/>
    <n v="0"/>
    <n v="1"/>
    <n v="0.66666666666666663"/>
    <n v="3"/>
    <n v="150"/>
  </r>
  <r>
    <s v="SC-1017"/>
    <d v="2026-07-24T00:00:00"/>
    <s v="Kenji Tanaka"/>
    <s v="Pallet"/>
    <x v="0"/>
    <x v="1"/>
    <s v="Malaysia"/>
    <s v="Vietnam"/>
    <x v="0"/>
    <x v="2"/>
    <x v="1"/>
    <n v="142"/>
    <n v="28"/>
    <n v="3976"/>
    <n v="35"/>
    <n v="125"/>
    <n v="15"/>
    <d v="2026-08-08T00:00:00"/>
    <d v="2026-08-10T00:00:00"/>
    <x v="0"/>
    <n v="2"/>
    <n v="0"/>
    <n v="1"/>
    <x v="1"/>
    <n v="0"/>
    <n v="1"/>
    <n v="0"/>
    <n v="0.25"/>
    <n v="17"/>
    <n v="-90"/>
  </r>
  <r>
    <s v="SC-1018"/>
    <d v="2026-07-09T00:00:00"/>
    <s v="Yuki Sato"/>
    <s v="Safety Gloves"/>
    <x v="3"/>
    <x v="8"/>
    <s v="China"/>
    <s v="Vietnam"/>
    <x v="0"/>
    <x v="4"/>
    <x v="0"/>
    <n v="357"/>
    <n v="12"/>
    <n v="4284"/>
    <n v="310"/>
    <n v="150"/>
    <n v="9"/>
    <d v="2026-07-18T00:00:00"/>
    <d v="2026-07-18T00:00:00"/>
    <x v="1"/>
    <n v="0"/>
    <n v="1"/>
    <n v="0"/>
    <x v="0"/>
    <n v="0"/>
    <n v="0"/>
    <n v="1"/>
    <n v="0.5"/>
    <n v="9"/>
    <n v="160"/>
  </r>
  <r>
    <s v="SC-1019"/>
    <d v="2026-08-04T00:00:00"/>
    <s v="Kim Min-Jun"/>
    <s v="Packaging Box"/>
    <x v="2"/>
    <x v="0"/>
    <s v="Indonesia"/>
    <s v="Thailand"/>
    <x v="2"/>
    <x v="1"/>
    <x v="2"/>
    <n v="385"/>
    <n v="4.5"/>
    <n v="1732.5"/>
    <n v="231"/>
    <n v="150"/>
    <n v="4"/>
    <d v="2026-08-08T00:00:00"/>
    <d v="2026-08-08T00:00:00"/>
    <x v="1"/>
    <n v="0"/>
    <n v="1"/>
    <n v="0"/>
    <x v="0"/>
    <n v="0"/>
    <n v="0"/>
    <n v="1"/>
    <n v="0.6"/>
    <n v="4"/>
    <n v="81"/>
  </r>
  <r>
    <s v="SC-1020"/>
    <d v="2026-07-15T00:00:00"/>
    <s v="Park Ji-Won"/>
    <s v="Barcode Scanner"/>
    <x v="0"/>
    <x v="1"/>
    <s v="India"/>
    <s v="Singapore"/>
    <x v="1"/>
    <x v="5"/>
    <x v="0"/>
    <n v="193"/>
    <n v="180"/>
    <n v="34740"/>
    <n v="3"/>
    <n v="75"/>
    <n v="4"/>
    <d v="2026-07-19T00:00:00"/>
    <d v="2026-07-22T00:00:00"/>
    <x v="0"/>
    <n v="3"/>
    <n v="0"/>
    <n v="1"/>
    <x v="1"/>
    <n v="0"/>
    <n v="1"/>
    <n v="0"/>
    <n v="0.25"/>
    <n v="7"/>
    <n v="-72"/>
  </r>
  <r>
    <s v="SC-1021"/>
    <d v="2026-08-10T00:00:00"/>
    <s v="Chen Wei"/>
    <s v="Laptop"/>
    <x v="4"/>
    <x v="9"/>
    <s v="Vietnam"/>
    <s v="Singapore"/>
    <x v="1"/>
    <x v="2"/>
    <x v="2"/>
    <n v="137"/>
    <n v="650"/>
    <n v="89050"/>
    <n v="121"/>
    <n v="150"/>
    <n v="7"/>
    <d v="2026-08-17T00:00:00"/>
    <d v="2026-08-20T00:00:00"/>
    <x v="0"/>
    <n v="3"/>
    <n v="0"/>
    <n v="1"/>
    <x v="1"/>
    <n v="0"/>
    <n v="1"/>
    <n v="0"/>
    <n v="0"/>
    <n v="10"/>
    <n v="-29"/>
  </r>
  <r>
    <s v="SC-1022"/>
    <d v="2026-08-01T00:00:00"/>
    <s v="Li Na"/>
    <s v="Packaging Box"/>
    <x v="2"/>
    <x v="7"/>
    <s v="India"/>
    <s v="Singapore"/>
    <x v="1"/>
    <x v="0"/>
    <x v="3"/>
    <n v="296"/>
    <n v="4.5"/>
    <n v="1332"/>
    <n v="208"/>
    <n v="125"/>
    <n v="6"/>
    <d v="2026-08-07T00:00:00"/>
    <d v="2026-08-07T00:00:00"/>
    <x v="1"/>
    <n v="0"/>
    <n v="1"/>
    <n v="0"/>
    <x v="0"/>
    <n v="0"/>
    <n v="0"/>
    <n v="1"/>
    <n v="0.66666666666666663"/>
    <n v="6"/>
    <n v="83"/>
  </r>
  <r>
    <s v="SC-1023"/>
    <d v="2026-07-07T00:00:00"/>
    <s v="Wang Jun"/>
    <s v="Handheld Terminal"/>
    <x v="4"/>
    <x v="3"/>
    <s v="Indonesia"/>
    <s v="Thailand"/>
    <x v="2"/>
    <x v="3"/>
    <x v="3"/>
    <n v="201"/>
    <n v="320"/>
    <n v="64320"/>
    <n v="344"/>
    <n v="50"/>
    <n v="13"/>
    <d v="2026-07-20T00:00:00"/>
    <d v="2026-07-23T00:00:00"/>
    <x v="0"/>
    <n v="3"/>
    <n v="0"/>
    <n v="1"/>
    <x v="0"/>
    <n v="0"/>
    <n v="0"/>
    <n v="1"/>
    <n v="0.33333333333333331"/>
    <n v="16"/>
    <n v="294"/>
  </r>
  <r>
    <s v="SC-1024"/>
    <d v="2026-07-07T00:00:00"/>
    <s v="Zhang Wei"/>
    <s v="Laptop"/>
    <x v="4"/>
    <x v="4"/>
    <s v="India"/>
    <s v="Vietnam"/>
    <x v="0"/>
    <x v="0"/>
    <x v="0"/>
    <n v="226"/>
    <n v="650"/>
    <n v="146900"/>
    <n v="274"/>
    <n v="75"/>
    <n v="10"/>
    <d v="2026-07-17T00:00:00"/>
    <d v="2026-07-17T00:00:00"/>
    <x v="1"/>
    <n v="0"/>
    <n v="1"/>
    <n v="0"/>
    <x v="0"/>
    <n v="0"/>
    <n v="0"/>
    <n v="1"/>
    <n v="0.75"/>
    <n v="10"/>
    <n v="199"/>
  </r>
  <r>
    <s v="SC-1025"/>
    <d v="2026-07-28T00:00:00"/>
    <s v="Budi Santoso"/>
    <s v="Safety Gloves"/>
    <x v="3"/>
    <x v="8"/>
    <s v="Malaysia"/>
    <s v="Vietnam"/>
    <x v="0"/>
    <x v="1"/>
    <x v="1"/>
    <n v="162"/>
    <n v="12"/>
    <n v="1944"/>
    <n v="50"/>
    <n v="150"/>
    <n v="3"/>
    <d v="2026-07-31T00:00:00"/>
    <d v="2026-08-03T00:00:00"/>
    <x v="0"/>
    <n v="3"/>
    <n v="0"/>
    <n v="1"/>
    <x v="1"/>
    <n v="0"/>
    <n v="1"/>
    <n v="0"/>
    <n v="0.5"/>
    <n v="6"/>
    <n v="-100"/>
  </r>
  <r>
    <s v="SC-1026"/>
    <d v="2026-08-04T00:00:00"/>
    <s v="Rina Putri"/>
    <s v="Laptop"/>
    <x v="4"/>
    <x v="6"/>
    <s v="China"/>
    <s v="Thailand"/>
    <x v="2"/>
    <x v="1"/>
    <x v="3"/>
    <n v="67"/>
    <n v="650"/>
    <n v="43550"/>
    <n v="109"/>
    <n v="125"/>
    <n v="9"/>
    <d v="2026-08-13T00:00:00"/>
    <d v="2026-08-13T00:00:00"/>
    <x v="1"/>
    <n v="0"/>
    <n v="1"/>
    <n v="0"/>
    <x v="1"/>
    <n v="0"/>
    <n v="1"/>
    <n v="0"/>
    <n v="1"/>
    <n v="9"/>
    <n v="-16"/>
  </r>
  <r>
    <s v="SC-1027"/>
    <d v="2026-07-11T00:00:00"/>
    <s v="Kumar Raj"/>
    <s v="Handheld Terminal"/>
    <x v="4"/>
    <x v="3"/>
    <s v="Japan"/>
    <s v="Singapore"/>
    <x v="1"/>
    <x v="4"/>
    <x v="3"/>
    <n v="21"/>
    <n v="320"/>
    <n v="6720"/>
    <n v="356"/>
    <n v="125"/>
    <n v="14"/>
    <d v="2026-07-25T00:00:00"/>
    <d v="2026-07-30T00:00:00"/>
    <x v="0"/>
    <n v="5"/>
    <n v="0"/>
    <n v="1"/>
    <x v="0"/>
    <n v="0"/>
    <n v="0"/>
    <n v="1"/>
    <n v="0.33333333333333331"/>
    <n v="19"/>
    <n v="231"/>
  </r>
  <r>
    <s v="SC-1028"/>
    <d v="2026-08-05T00:00:00"/>
    <s v="Mei Lin"/>
    <s v="Stretch Film"/>
    <x v="2"/>
    <x v="6"/>
    <s v="Japan"/>
    <s v="Singapore"/>
    <x v="1"/>
    <x v="2"/>
    <x v="0"/>
    <n v="99"/>
    <n v="15"/>
    <n v="1485"/>
    <n v="376"/>
    <n v="150"/>
    <n v="11"/>
    <d v="2026-08-16T00:00:00"/>
    <d v="2026-08-16T00:00:00"/>
    <x v="1"/>
    <n v="0"/>
    <n v="1"/>
    <n v="0"/>
    <x v="0"/>
    <n v="0"/>
    <n v="0"/>
    <n v="1"/>
    <n v="1"/>
    <n v="11"/>
    <n v="226"/>
  </r>
  <r>
    <s v="SC-1029"/>
    <d v="2026-07-21T00:00:00"/>
    <s v="Hana Suzuki"/>
    <s v="Laptop"/>
    <x v="4"/>
    <x v="5"/>
    <s v="Vietnam"/>
    <s v="Philippines"/>
    <x v="4"/>
    <x v="2"/>
    <x v="0"/>
    <n v="45"/>
    <n v="650"/>
    <n v="29250"/>
    <n v="41"/>
    <n v="150"/>
    <n v="5"/>
    <d v="2026-07-26T00:00:00"/>
    <d v="2026-07-26T00:00:00"/>
    <x v="1"/>
    <n v="0"/>
    <n v="1"/>
    <n v="0"/>
    <x v="1"/>
    <n v="0"/>
    <n v="1"/>
    <n v="0"/>
    <n v="1"/>
    <n v="5"/>
    <n v="-109"/>
  </r>
  <r>
    <s v="SC-1030"/>
    <d v="2026-08-08T00:00:00"/>
    <s v="Dimas Pratama"/>
    <s v="Barcode Scanner"/>
    <x v="0"/>
    <x v="6"/>
    <s v="Indonesia"/>
    <s v="Thailand"/>
    <x v="2"/>
    <x v="5"/>
    <x v="1"/>
    <n v="365"/>
    <n v="180"/>
    <n v="65700"/>
    <n v="296"/>
    <n v="75"/>
    <n v="12"/>
    <d v="2026-08-20T00:00:00"/>
    <d v="2026-08-20T00:00:00"/>
    <x v="1"/>
    <n v="0"/>
    <n v="1"/>
    <n v="0"/>
    <x v="0"/>
    <n v="0"/>
    <n v="0"/>
    <n v="1"/>
    <n v="1"/>
    <n v="12"/>
    <n v="2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4D45E6-779C-4F40-BCDD-068CCD47A15C}" name="ptWarehouse" cacheId="3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A110:C117" firstHeaderRow="0" firstDataRow="1" firstDataCol="1"/>
  <pivotFields count="30">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1"/>
        <item x="2"/>
        <item x="0"/>
        <item x="3"/>
        <item x="5"/>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9"/>
  </rowFields>
  <rowItems count="7">
    <i>
      <x/>
    </i>
    <i>
      <x v="1"/>
    </i>
    <i>
      <x v="2"/>
    </i>
    <i>
      <x v="3"/>
    </i>
    <i>
      <x v="4"/>
    </i>
    <i>
      <x v="5"/>
    </i>
    <i t="grand">
      <x/>
    </i>
  </rowItems>
  <colFields count="1">
    <field x="-2"/>
  </colFields>
  <colItems count="2">
    <i>
      <x/>
    </i>
    <i i="1">
      <x v="1"/>
    </i>
  </colItems>
  <dataFields count="2">
    <dataField name="On-Time %" fld="21" subtotal="average" baseField="0" baseItem="0" numFmtId="1"/>
    <dataField name="Low Stock" fld="25" baseField="0" baseItem="0" numFmtId="1"/>
  </dataFields>
  <formats count="1">
    <format dxfId="0">
      <pivotArea outline="0" fieldPosition="0">
        <references count="2">
          <reference field="4294967294" count="1" selected="0">
            <x v="0"/>
          </reference>
          <reference field="9" count="0" selected="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10E860-0A7B-4A6C-8550-BCE7B12CECD4}" name="ptRegion" cacheId="3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A95:B101" firstHeaderRow="1" firstDataRow="1" firstDataCol="1"/>
  <pivotFields count="30">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4"/>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8"/>
  </rowFields>
  <rowItems count="6">
    <i>
      <x/>
    </i>
    <i>
      <x v="1"/>
    </i>
    <i>
      <x v="2"/>
    </i>
    <i>
      <x v="3"/>
    </i>
    <i>
      <x v="4"/>
    </i>
    <i t="grand">
      <x/>
    </i>
  </rowItems>
  <colItems count="1">
    <i/>
  </colItems>
  <dataFields count="1">
    <dataField name="On-Time %" fld="21" subtotal="average" baseField="0" baseItem="0" numFmtId="1"/>
  </dataFields>
  <formats count="1">
    <format dxfId="1">
      <pivotArea outline="0" fieldPosition="0">
        <references count="1">
          <reference field="8" count="0" selected="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7BE7A6-BD08-4EE0-8803-E3A0B744EB02}" name="ptTransport" cacheId="3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A80:B85" firstHeaderRow="1" firstDataRow="1" firstDataCol="1"/>
  <pivotFields count="30">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3"/>
        <item x="2"/>
        <item x="1"/>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dataField="1" compact="0" numFmtId="4"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10"/>
  </rowFields>
  <rowItems count="5">
    <i>
      <x/>
    </i>
    <i>
      <x v="1"/>
    </i>
    <i>
      <x v="2"/>
    </i>
    <i>
      <x v="3"/>
    </i>
    <i t="grand">
      <x/>
    </i>
  </rowItems>
  <colItems count="1">
    <i/>
  </colItems>
  <dataFields count="1">
    <dataField name="Order Value" fld="13"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A321E8-A3A5-47E3-8235-2DAEE62BE6F9}" name="ptStock" cacheId="3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A65:B68" firstHeaderRow="1" firstDataRow="1" firstDataCol="1"/>
  <pivotFields count="30">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23"/>
  </rowFields>
  <rowItems count="3">
    <i>
      <x/>
    </i>
    <i>
      <x v="1"/>
    </i>
    <i t="grand">
      <x/>
    </i>
  </rowItems>
  <colItems count="1">
    <i/>
  </colItems>
  <dataFields count="1">
    <dataField name="Order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02B553-E531-43C3-B0C9-167AA45B2FC0}" name="ptCategory" cacheId="3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
  <location ref="A50:B57" firstHeaderRow="1" firstDataRow="1" firstDataCol="1"/>
  <pivotFields count="30">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4"/>
        <item x="1"/>
        <item x="2"/>
        <item x="3"/>
        <item x="5"/>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dataField="1" compact="0" numFmtId="4"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4"/>
  </rowFields>
  <rowItems count="7">
    <i>
      <x/>
    </i>
    <i>
      <x v="1"/>
    </i>
    <i>
      <x v="2"/>
    </i>
    <i>
      <x v="3"/>
    </i>
    <i>
      <x v="4"/>
    </i>
    <i>
      <x v="5"/>
    </i>
    <i t="grand">
      <x/>
    </i>
  </rowItems>
  <colItems count="1">
    <i/>
  </colItems>
  <dataFields count="1">
    <dataField name="Order Value" fld="13"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6180B7-0AEA-4160-8E1E-7A598D8A5693}" name="ptSupplier" cacheId="3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A30:B41" firstHeaderRow="1" firstDataRow="1" firstDataCol="1"/>
  <pivotFields count="30">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0">
        <item x="9"/>
        <item x="5"/>
        <item x="8"/>
        <item x="4"/>
        <item x="3"/>
        <item x="2"/>
        <item x="7"/>
        <item x="0"/>
        <item x="6"/>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5"/>
  </rowFields>
  <rowItems count="11">
    <i>
      <x/>
    </i>
    <i>
      <x v="1"/>
    </i>
    <i>
      <x v="2"/>
    </i>
    <i>
      <x v="3"/>
    </i>
    <i>
      <x v="4"/>
    </i>
    <i>
      <x v="5"/>
    </i>
    <i>
      <x v="6"/>
    </i>
    <i>
      <x v="7"/>
    </i>
    <i>
      <x v="8"/>
    </i>
    <i>
      <x v="9"/>
    </i>
    <i t="grand">
      <x/>
    </i>
  </rowItems>
  <colItems count="1">
    <i/>
  </colItems>
  <dataFields count="1">
    <dataField name="On-Time %" fld="21" subtotal="average" baseField="0" baseItem="0" numFmtId="1"/>
  </dataFields>
  <formats count="1">
    <format dxfId="2">
      <pivotArea outline="0" fieldPosition="0">
        <references count="1">
          <reference field="5" count="0" selected="0"/>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D9259F-AAF6-48B0-ABD3-B7EF51FA8D9A}" name="ptDelivery" cacheId="3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
  <location ref="A15:B18" firstHeaderRow="1" firstDataRow="1" firstDataCol="1"/>
  <pivotFields count="30">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Fields count="1">
    <field x="19"/>
  </rowFields>
  <rowItems count="3">
    <i>
      <x/>
    </i>
    <i>
      <x v="1"/>
    </i>
    <i t="grand">
      <x/>
    </i>
  </rowItems>
  <colItems count="1">
    <i/>
  </colItems>
  <dataFields count="1">
    <dataField name="Orders"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D679C8-984B-45BA-9E0C-BFC2AB26BF4B}" name="ptKPI" cacheId="3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5:G6" firstHeaderRow="0" firstDataRow="1" firstDataCol="0"/>
  <pivotFields count="30">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0">
        <item x="9"/>
        <item x="5"/>
        <item x="8"/>
        <item x="4"/>
        <item x="3"/>
        <item x="2"/>
        <item x="7"/>
        <item x="0"/>
        <item x="6"/>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dataField="1" compact="0" numFmtId="4"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s>
  <rowItems count="1">
    <i/>
  </rowItems>
  <colFields count="1">
    <field x="-2"/>
  </colFields>
  <colItems count="7">
    <i>
      <x/>
    </i>
    <i i="1">
      <x v="1"/>
    </i>
    <i i="2">
      <x v="2"/>
    </i>
    <i i="3">
      <x v="3"/>
    </i>
    <i i="4">
      <x v="4"/>
    </i>
    <i i="5">
      <x v="5"/>
    </i>
    <i i="6">
      <x v="6"/>
    </i>
  </colItems>
  <dataFields count="7">
    <dataField name="Total Orders" fld="0" subtotal="count" baseField="0" baseItem="0"/>
    <dataField name="Total Order Value" fld="13" baseField="0" baseItem="0" numFmtId="4"/>
    <dataField name="On-Time Delivery %" fld="21" subtotal="average" baseField="0" baseItem="0" numFmtId="165"/>
    <dataField name="Delayed Orders" fld="22" baseField="0" baseItem="0" numFmtId="1"/>
    <dataField name="Average Lead Time" fld="16" subtotal="average" baseField="0" baseItem="0" numFmtId="166"/>
    <dataField name="Stock-out Orders" fld="24" baseField="0" baseItem="0" numFmtId="1"/>
    <dataField name="Low Stock Items" fld="25" baseField="0" baseItem="0" numFmtId="1"/>
  </dataFields>
  <formats count="2">
    <format dxfId="4">
      <pivotArea outline="0" fieldPosition="0">
        <references count="1">
          <reference field="4294967294" count="1" selected="0">
            <x v="2"/>
          </reference>
        </references>
      </pivotArea>
    </format>
    <format dxfId="3">
      <pivotArea outline="0" fieldPosition="0">
        <references count="1">
          <reference field="4294967294" count="1" selected="0">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4102FB7F-DE7C-4CDD-AA81-192B8D4EC734}" sourceName="Supplier">
  <pivotTables>
    <pivotTable tabId="6" name="ptSupplier"/>
  </pivotTables>
  <data>
    <tabular pivotCacheId="742766720">
      <items count="10">
        <i x="9" s="1"/>
        <i x="5" s="1"/>
        <i x="8" s="1"/>
        <i x="4" s="1"/>
        <i x="3" s="1"/>
        <i x="2" s="1"/>
        <i x="7" s="1"/>
        <i x="0"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A008D3-3759-48A9-8F40-576679B8EA47}" sourceName="Region">
  <pivotTables>
    <pivotTable tabId="6" name="ptRegion"/>
  </pivotTables>
  <data>
    <tabular pivotCacheId="742766720">
      <items count="5">
        <i x="3" s="1"/>
        <i x="4"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F8D45A52-3380-4486-ACE1-C3075A95ED45}" sourceName="Warehouse">
  <pivotTables>
    <pivotTable tabId="6" name="ptWarehouse"/>
  </pivotTables>
  <data>
    <tabular pivotCacheId="742766720">
      <items count="6">
        <i x="1" s="1"/>
        <i x="2" s="1"/>
        <i x="0" s="1"/>
        <i x="3"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A4DF3B-20C9-4783-9C7E-38253A9FEA5B}" sourceName="Category">
  <pivotTables>
    <pivotTable tabId="6" name="ptCategory"/>
  </pivotTables>
  <data>
    <tabular pivotCacheId="742766720">
      <items count="6">
        <i x="4" s="1"/>
        <i x="1" s="1"/>
        <i x="2" s="1"/>
        <i x="3" s="1"/>
        <i x="5"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C3F94125-6317-46D6-8A9F-5D6BB2F9F8AF}" sourceName="Transport Mode">
  <pivotTables>
    <pivotTable tabId="6" name="ptTransport"/>
  </pivotTables>
  <data>
    <tabular pivotCacheId="742766720">
      <items count="4">
        <i x="0" s="1"/>
        <i x="3"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45717FEF-B736-4364-BF6E-886E0763F7E3}" sourceName="Delivery Status">
  <pivotTables>
    <pivotTable tabId="6" name="ptDelivery"/>
  </pivotTables>
  <data>
    <tabular pivotCacheId="7427667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Supplier" xr10:uid="{7B37B633-3BEF-4CA5-8BE8-A9D249CA78FB}" cache="Slicer_Supplier" caption="Supplier" rowHeight="251883"/>
  <slicer name="slRegion" xr10:uid="{BBF24AA7-870A-4C86-9E7B-0D3692989669}" cache="Slicer_Region" caption="Region" rowHeight="251883"/>
  <slicer name="slWarehouse" xr10:uid="{AA7EC69A-DAB2-490A-B9BB-B84BF37C6E96}" cache="Slicer_Warehouse" caption="Warehouse" rowHeight="251883"/>
  <slicer name="slCategory" xr10:uid="{511B023B-99F2-4D05-8996-1F66DB758970}" cache="Slicer_Category" caption="Category" rowHeight="251883"/>
  <slicer name="slTransport" xr10:uid="{0B24A094-5E01-438C-BE8C-FBB1614B9E4A}" cache="Slicer_Transport_Mode" caption="Transport Mode" rowHeight="251883"/>
  <slicer name="slDelivery" xr10:uid="{9688C66C-B34C-4FE2-92D9-C878D9B70AA6}" cache="Slicer_Delivery_Status" caption="Delivery Statu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894CD-3EC9-46BB-8990-EE5057734F13}" name="VSCN_DataSet" displayName="VSCN_DataSet" ref="A1:T31" totalsRowShown="0" headerRowDxfId="24" dataDxfId="25">
  <autoFilter ref="A1:T31" xr:uid="{B6F894CD-3EC9-46BB-8990-EE5057734F13}"/>
  <tableColumns count="20">
    <tableColumn id="1" xr3:uid="{F8CD141D-7A4B-4B06-A431-38232576ADE7}" name="Order ID" dataDxfId="45"/>
    <tableColumn id="2" xr3:uid="{69A0BE9D-06A9-49AE-B61D-CC5FB9935C72}" name="Order Date" dataDxfId="44"/>
    <tableColumn id="3" xr3:uid="{B512D62F-20AF-4CEA-AB20-365211486209}" name="Customer / Contact" dataDxfId="43"/>
    <tableColumn id="4" xr3:uid="{E345991C-6AB7-42FE-8B24-7AE7382CB30E}" name="Product" dataDxfId="42"/>
    <tableColumn id="5" xr3:uid="{604FA7EC-D7FC-4442-8AE1-3B907DC2AE43}" name="Category" dataDxfId="41"/>
    <tableColumn id="6" xr3:uid="{27697EAD-85E6-4A9D-B65A-28E4F97EB336}" name="Supplier" dataDxfId="40"/>
    <tableColumn id="7" xr3:uid="{6C86FB7E-1945-4EDB-8240-58BB2CD966CA}" name="Origin" dataDxfId="39"/>
    <tableColumn id="8" xr3:uid="{A0C9CC3A-59F0-47D2-A519-22B4E5BC1754}" name="Destination" dataDxfId="38"/>
    <tableColumn id="9" xr3:uid="{229B64F2-5AB4-4E5B-B288-6E57861B4C50}" name="Region" dataDxfId="37"/>
    <tableColumn id="10" xr3:uid="{E4BB2F0B-4339-45B6-A92E-1B372EE934EC}" name="Warehouse" dataDxfId="36"/>
    <tableColumn id="11" xr3:uid="{6F8711EB-8FC3-445A-8E0E-B558B3F191E3}" name="Transport Mode" dataDxfId="35"/>
    <tableColumn id="12" xr3:uid="{E0254561-8340-42CB-B4C9-0C8E75127B8C}" name="Quantity" dataDxfId="34"/>
    <tableColumn id="13" xr3:uid="{9BA8BD20-9A1A-401F-A6F2-090D8E3C5052}" name="Unit Cost" dataDxfId="33"/>
    <tableColumn id="14" xr3:uid="{B35E8A7D-2BAA-4C68-8CA3-0F1EE010DD33}" name="Order Value" dataDxfId="32"/>
    <tableColumn id="15" xr3:uid="{9BEA7878-FDFB-48BF-A403-97A6E29949F9}" name="Current Stock" dataDxfId="31"/>
    <tableColumn id="16" xr3:uid="{C74C20CF-7CC5-4C7D-80E2-F2A87509B756}" name="Reorder Level" dataDxfId="30"/>
    <tableColumn id="17" xr3:uid="{CF7BE526-611B-401A-A5BD-22AAE4B9A1C0}" name="Lead Time (Days)" dataDxfId="29"/>
    <tableColumn id="18" xr3:uid="{EC4CFA8D-76CE-454B-A517-6AC8D2308B93}" name="Promised Date" dataDxfId="28"/>
    <tableColumn id="19" xr3:uid="{D509308E-5B84-44CE-AC3D-A782A7122607}" name="Delivery Date" dataDxfId="27"/>
    <tableColumn id="20" xr3:uid="{E6F80ABA-7228-4010-A542-DDF08E3B2DD3}" name="Delivery Status" dataDxfId="26"/>
  </tableColumns>
  <tableStyleInfo name="TableStyleMedium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90DD1D-072D-4475-B748-FA6269EE8B9B}" name="VSCN_Clean" displayName="VSCN_Clean" ref="A1:AD31" totalsRowShown="0">
  <autoFilter ref="A1:AD31" xr:uid="{EA90DD1D-072D-4475-B748-FA6269EE8B9B}"/>
  <tableColumns count="30">
    <tableColumn id="1" xr3:uid="{A316AB43-48C9-41D1-89AE-531A837834D7}" name="Order ID"/>
    <tableColumn id="2" xr3:uid="{C26B9053-F3CC-4AF2-9495-73730B090DCE}" name="Order Date" dataDxfId="23"/>
    <tableColumn id="3" xr3:uid="{15E0DA99-5CDD-423A-BDB3-A954A71ADBFF}" name="Customer / Contact"/>
    <tableColumn id="4" xr3:uid="{23AA6EFA-75A8-44E1-A0F1-1ADDA2EBD603}" name="Product"/>
    <tableColumn id="5" xr3:uid="{05070296-0EAB-4A49-BAE4-8BC481CF3EBD}" name="Category"/>
    <tableColumn id="6" xr3:uid="{50652235-F050-447B-B27C-8C2D64AEC85E}" name="Supplier"/>
    <tableColumn id="7" xr3:uid="{78577FC0-D860-4071-9531-1E2D0BED69EE}" name="Origin"/>
    <tableColumn id="8" xr3:uid="{454D2A6B-0CE6-4925-A07D-D61AFC293616}" name="Destination"/>
    <tableColumn id="9" xr3:uid="{51394F54-AF28-42CE-9ADC-F9414EA547A9}" name="Region"/>
    <tableColumn id="10" xr3:uid="{D5332005-E78F-4B4A-A512-35716690CBF9}" name="Warehouse"/>
    <tableColumn id="11" xr3:uid="{3F9A38FC-A8D2-48D1-B70F-D084F2C0EDFE}" name="Transport Mode"/>
    <tableColumn id="12" xr3:uid="{ADC7C56D-33C8-449A-B9F9-F90CFC0BE873}" name="Quantity" dataDxfId="20"/>
    <tableColumn id="13" xr3:uid="{4D8889CC-2875-4FF0-9B93-9B979B7562F4}" name="Unit Cost" dataDxfId="19"/>
    <tableColumn id="14" xr3:uid="{2E9111AF-4E69-459B-AF88-C08C2B90CEEC}" name="Order Value" dataDxfId="18"/>
    <tableColumn id="15" xr3:uid="{D97FBE73-AAD0-4970-9C2E-8D6ED270A352}" name="Current Stock" dataDxfId="17"/>
    <tableColumn id="16" xr3:uid="{5CD48802-2B39-47C4-BB7A-62FB28A0042E}" name="Reorder Level" dataDxfId="16"/>
    <tableColumn id="17" xr3:uid="{8FA58631-63B1-4EC0-80BC-B055E351FAA8}" name="Lead Time (Days)" dataDxfId="15"/>
    <tableColumn id="18" xr3:uid="{49A94AA5-44DE-4DFE-9977-90F611FD2C3B}" name="Promised Date" dataDxfId="22"/>
    <tableColumn id="19" xr3:uid="{0903410F-785F-4C20-833B-27E94A54EF8B}" name="Delivery Date" dataDxfId="21"/>
    <tableColumn id="20" xr3:uid="{1FA31A84-3273-48E6-BD4B-2DE2839B232D}" name="Delivery Status"/>
    <tableColumn id="21" xr3:uid="{0ADB8FAD-A9A4-4B3B-B609-334366F0539A}" name="Delivery Delay Days" dataDxfId="13">
      <calculatedColumnFormula>VSCN_Clean[[#This Row],[Delivery Date]]-VSCN_Clean[[#This Row],[Promised Date]]</calculatedColumnFormula>
    </tableColumn>
    <tableColumn id="22" xr3:uid="{1F938BD9-0275-43DB-B3B2-68E7483149F8}" name="On-Time Flag" dataDxfId="12">
      <calculatedColumnFormula>--(VSCN_Clean[[#This Row],[Delivery Date]]&lt;=VSCN_Clean[[#This Row],[Promised Date]])</calculatedColumnFormula>
    </tableColumn>
    <tableColumn id="23" xr3:uid="{277F9750-CE52-4E42-BC9B-A97091ED8455}" name="Delay Flag" dataDxfId="11">
      <calculatedColumnFormula>--(VSCN_Clean[[#This Row],[Delivery Date]]&gt;VSCN_Clean[[#This Row],[Promised Date]])</calculatedColumnFormula>
    </tableColumn>
    <tableColumn id="24" xr3:uid="{F3A4CD0A-2186-47EE-8AFA-AB0E19E2EFCA}" name="Stock Status" dataDxfId="14">
      <calculatedColumnFormula>IF(VSCN_Clean[[#This Row],[Current Stock]]&lt;=0,"Stock-out",IF(VSCN_Clean[[#This Row],[Current Stock]]&lt;VSCN_Clean[[#This Row],[Reorder Level]],"Low Stock","Healthy"))</calculatedColumnFormula>
    </tableColumn>
    <tableColumn id="25" xr3:uid="{092584B3-9ED8-4B79-8C1D-776D56302C39}" name="Stock-out Flag" dataDxfId="10">
      <calculatedColumnFormula>--(VSCN_Clean[[#This Row],[Current Stock]]&lt;=0)</calculatedColumnFormula>
    </tableColumn>
    <tableColumn id="26" xr3:uid="{71DB54CC-E6EC-4FB2-915C-B2C69ACDEDBB}" name="Low Stock Flag" dataDxfId="9">
      <calculatedColumnFormula>--(AND(VSCN_Clean[[#This Row],[Current Stock]]&gt;0,VSCN_Clean[[#This Row],[Current Stock]]&lt;VSCN_Clean[[#This Row],[Reorder Level]]))</calculatedColumnFormula>
    </tableColumn>
    <tableColumn id="27" xr3:uid="{DD8847FE-C16E-45CF-9AFE-2F0627B8AFED}" name="Healthy Stock Flag" dataDxfId="8">
      <calculatedColumnFormula>--(VSCN_Clean[[#This Row],[Current Stock]]&gt;=VSCN_Clean[[#This Row],[Reorder Level]])</calculatedColumnFormula>
    </tableColumn>
    <tableColumn id="28" xr3:uid="{E4C6D39F-3690-4FC1-9B40-7041D6732F94}" name="Supplier On-Time %" dataDxfId="7">
      <calculatedColumnFormula>IFERROR(COUNTIFS(VSCN_Clean[Supplier],VSCN_Clean[[#This Row],[Supplier]],VSCN_Clean[On-Time Flag],1)/COUNTIF(VSCN_Clean[Supplier],VSCN_Clean[[#This Row],[Supplier]]),0)</calculatedColumnFormula>
    </tableColumn>
    <tableColumn id="29" xr3:uid="{DE34DC8C-3A50-4239-BEEF-58A763339609}" name="Delivery Cycle Days" dataDxfId="6">
      <calculatedColumnFormula>VSCN_Clean[[#This Row],[Delivery Date]]-VSCN_Clean[[#This Row],[Order Date]]</calculatedColumnFormula>
    </tableColumn>
    <tableColumn id="30" xr3:uid="{353004D1-F408-4B2B-A4C0-8F92784DD594}" name="Stock Variance" dataDxfId="5">
      <calculatedColumnFormula>VSCN_Clean[[#This Row],[Current Stock]]-VSCN_Clean[[#This Row],[Reorder Level]]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EC763-553D-435A-8B84-C42D8B56095C}">
  <dimension ref="A1:T31"/>
  <sheetViews>
    <sheetView workbookViewId="0">
      <selection activeCell="D5" sqref="D5"/>
    </sheetView>
  </sheetViews>
  <sheetFormatPr defaultColWidth="10.1796875" defaultRowHeight="14.5" x14ac:dyDescent="0.35"/>
  <cols>
    <col min="1" max="1" width="10.1796875" style="1"/>
    <col min="2" max="2" width="10.1796875" style="2"/>
    <col min="3" max="3" width="14.453125" style="1" customWidth="1"/>
    <col min="4" max="10" width="10.1796875" style="1"/>
    <col min="11" max="11" width="11.90625" style="1" customWidth="1"/>
    <col min="12" max="14" width="10.1796875" style="1"/>
    <col min="15" max="15" width="11" style="1" customWidth="1"/>
    <col min="16" max="16" width="10.81640625" style="1" customWidth="1"/>
    <col min="17" max="17" width="12.90625" style="1" customWidth="1"/>
    <col min="18" max="18" width="11.54296875" style="2" customWidth="1"/>
    <col min="19" max="19" width="10.7265625" style="2" customWidth="1"/>
    <col min="20" max="20" width="11.7265625" style="1" customWidth="1"/>
  </cols>
  <sheetData>
    <row r="1" spans="1:20" x14ac:dyDescent="0.3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1" t="s">
        <v>19</v>
      </c>
    </row>
    <row r="2" spans="1:20" x14ac:dyDescent="0.35">
      <c r="A2" s="1" t="s">
        <v>20</v>
      </c>
      <c r="B2" s="2">
        <v>46244</v>
      </c>
      <c r="C2" s="1" t="s">
        <v>21</v>
      </c>
      <c r="D2" s="1" t="s">
        <v>22</v>
      </c>
      <c r="E2" s="1" t="s">
        <v>23</v>
      </c>
      <c r="F2" s="1" t="s">
        <v>24</v>
      </c>
      <c r="G2" s="1" t="s">
        <v>25</v>
      </c>
      <c r="H2" s="1" t="s">
        <v>26</v>
      </c>
      <c r="I2" s="1" t="s">
        <v>26</v>
      </c>
      <c r="J2" s="1" t="s">
        <v>27</v>
      </c>
      <c r="K2" s="1" t="s">
        <v>28</v>
      </c>
      <c r="L2" s="1">
        <v>32</v>
      </c>
      <c r="M2" s="1">
        <v>180</v>
      </c>
      <c r="N2" s="1">
        <v>5760</v>
      </c>
      <c r="O2" s="1">
        <v>346</v>
      </c>
      <c r="P2" s="1">
        <v>50</v>
      </c>
      <c r="Q2" s="1">
        <v>14</v>
      </c>
      <c r="R2" s="2">
        <v>46258</v>
      </c>
      <c r="S2" s="2">
        <v>46260</v>
      </c>
      <c r="T2" s="1" t="s">
        <v>29</v>
      </c>
    </row>
    <row r="3" spans="1:20" x14ac:dyDescent="0.35">
      <c r="A3" s="1" t="s">
        <v>30</v>
      </c>
      <c r="B3" s="2">
        <v>46209</v>
      </c>
      <c r="C3" s="1" t="s">
        <v>31</v>
      </c>
      <c r="D3" s="1" t="s">
        <v>32</v>
      </c>
      <c r="E3" s="1" t="s">
        <v>33</v>
      </c>
      <c r="F3" s="1" t="s">
        <v>34</v>
      </c>
      <c r="G3" s="1" t="s">
        <v>26</v>
      </c>
      <c r="H3" s="1" t="s">
        <v>35</v>
      </c>
      <c r="I3" s="1" t="s">
        <v>35</v>
      </c>
      <c r="J3" s="1" t="s">
        <v>27</v>
      </c>
      <c r="K3" s="1" t="s">
        <v>36</v>
      </c>
      <c r="L3" s="1">
        <v>236</v>
      </c>
      <c r="M3" s="1">
        <v>420</v>
      </c>
      <c r="N3" s="1">
        <v>99120</v>
      </c>
      <c r="O3" s="1">
        <v>258</v>
      </c>
      <c r="P3" s="1">
        <v>75</v>
      </c>
      <c r="Q3" s="1">
        <v>12</v>
      </c>
      <c r="R3" s="2">
        <v>46221</v>
      </c>
      <c r="S3" s="2">
        <v>46221</v>
      </c>
      <c r="T3" s="1" t="s">
        <v>37</v>
      </c>
    </row>
    <row r="4" spans="1:20" x14ac:dyDescent="0.35">
      <c r="A4" s="1" t="s">
        <v>38</v>
      </c>
      <c r="B4" s="2">
        <v>46239</v>
      </c>
      <c r="C4" s="1" t="s">
        <v>39</v>
      </c>
      <c r="D4" s="1" t="s">
        <v>40</v>
      </c>
      <c r="E4" s="1" t="s">
        <v>41</v>
      </c>
      <c r="F4" s="1" t="s">
        <v>42</v>
      </c>
      <c r="G4" s="1" t="s">
        <v>43</v>
      </c>
      <c r="H4" s="1" t="s">
        <v>44</v>
      </c>
      <c r="I4" s="1" t="s">
        <v>44</v>
      </c>
      <c r="J4" s="1" t="s">
        <v>45</v>
      </c>
      <c r="K4" s="1" t="s">
        <v>28</v>
      </c>
      <c r="L4" s="1">
        <v>386</v>
      </c>
      <c r="M4" s="1">
        <v>4.5</v>
      </c>
      <c r="N4" s="1">
        <v>1737</v>
      </c>
      <c r="O4" s="1">
        <v>142</v>
      </c>
      <c r="P4" s="1">
        <v>150</v>
      </c>
      <c r="Q4" s="1">
        <v>15</v>
      </c>
      <c r="R4" s="2">
        <v>46254</v>
      </c>
      <c r="S4" s="2">
        <v>46259</v>
      </c>
      <c r="T4" s="1" t="s">
        <v>29</v>
      </c>
    </row>
    <row r="5" spans="1:20" x14ac:dyDescent="0.35">
      <c r="A5" s="1" t="s">
        <v>46</v>
      </c>
      <c r="B5" s="2">
        <v>46204</v>
      </c>
      <c r="C5" s="1" t="s">
        <v>47</v>
      </c>
      <c r="D5" s="1" t="s">
        <v>48</v>
      </c>
      <c r="E5" s="1" t="s">
        <v>49</v>
      </c>
      <c r="F5" s="1" t="s">
        <v>50</v>
      </c>
      <c r="G5" s="1" t="s">
        <v>51</v>
      </c>
      <c r="H5" s="1" t="s">
        <v>25</v>
      </c>
      <c r="I5" s="1" t="s">
        <v>25</v>
      </c>
      <c r="J5" s="1" t="s">
        <v>27</v>
      </c>
      <c r="K5" s="1" t="s">
        <v>52</v>
      </c>
      <c r="L5" s="1">
        <v>377</v>
      </c>
      <c r="M5" s="1">
        <v>12</v>
      </c>
      <c r="N5" s="1">
        <v>4524</v>
      </c>
      <c r="O5" s="1">
        <v>390</v>
      </c>
      <c r="P5" s="1">
        <v>75</v>
      </c>
      <c r="Q5" s="1">
        <v>8</v>
      </c>
      <c r="R5" s="2">
        <v>46212</v>
      </c>
      <c r="S5" s="2">
        <v>46212</v>
      </c>
      <c r="T5" s="1" t="s">
        <v>37</v>
      </c>
    </row>
    <row r="6" spans="1:20" x14ac:dyDescent="0.35">
      <c r="A6" s="1" t="s">
        <v>53</v>
      </c>
      <c r="B6" s="2">
        <v>46209</v>
      </c>
      <c r="C6" s="1" t="s">
        <v>54</v>
      </c>
      <c r="D6" s="1" t="s">
        <v>55</v>
      </c>
      <c r="E6" s="1" t="s">
        <v>56</v>
      </c>
      <c r="F6" s="1" t="s">
        <v>57</v>
      </c>
      <c r="G6" s="1" t="s">
        <v>51</v>
      </c>
      <c r="H6" s="1" t="s">
        <v>25</v>
      </c>
      <c r="I6" s="1" t="s">
        <v>25</v>
      </c>
      <c r="J6" s="1" t="s">
        <v>58</v>
      </c>
      <c r="K6" s="1" t="s">
        <v>52</v>
      </c>
      <c r="L6" s="1">
        <v>69</v>
      </c>
      <c r="M6" s="1">
        <v>320</v>
      </c>
      <c r="N6" s="1">
        <v>22080</v>
      </c>
      <c r="O6" s="1">
        <v>274</v>
      </c>
      <c r="P6" s="1">
        <v>125</v>
      </c>
      <c r="Q6" s="1">
        <v>4</v>
      </c>
      <c r="R6" s="2">
        <v>46213</v>
      </c>
      <c r="S6" s="2">
        <v>46214</v>
      </c>
      <c r="T6" s="1" t="s">
        <v>29</v>
      </c>
    </row>
    <row r="7" spans="1:20" x14ac:dyDescent="0.35">
      <c r="A7" s="1" t="s">
        <v>59</v>
      </c>
      <c r="B7" s="2">
        <v>46209</v>
      </c>
      <c r="C7" s="1" t="s">
        <v>60</v>
      </c>
      <c r="D7" s="1" t="s">
        <v>61</v>
      </c>
      <c r="E7" s="1" t="s">
        <v>49</v>
      </c>
      <c r="F7" s="1" t="s">
        <v>62</v>
      </c>
      <c r="G7" s="1" t="s">
        <v>51</v>
      </c>
      <c r="H7" s="1" t="s">
        <v>25</v>
      </c>
      <c r="I7" s="1" t="s">
        <v>25</v>
      </c>
      <c r="J7" s="1" t="s">
        <v>63</v>
      </c>
      <c r="K7" s="1" t="s">
        <v>28</v>
      </c>
      <c r="L7" s="1">
        <v>170</v>
      </c>
      <c r="M7" s="1">
        <v>18</v>
      </c>
      <c r="N7" s="1">
        <v>3060</v>
      </c>
      <c r="O7" s="1">
        <v>23</v>
      </c>
      <c r="P7" s="1">
        <v>50</v>
      </c>
      <c r="Q7" s="1">
        <v>13</v>
      </c>
      <c r="R7" s="2">
        <v>46222</v>
      </c>
      <c r="S7" s="2">
        <v>46222</v>
      </c>
      <c r="T7" s="1" t="s">
        <v>37</v>
      </c>
    </row>
    <row r="8" spans="1:20" x14ac:dyDescent="0.35">
      <c r="A8" s="1" t="s">
        <v>64</v>
      </c>
      <c r="B8" s="2">
        <v>46222</v>
      </c>
      <c r="C8" s="1" t="s">
        <v>65</v>
      </c>
      <c r="D8" s="1" t="s">
        <v>22</v>
      </c>
      <c r="E8" s="1" t="s">
        <v>23</v>
      </c>
      <c r="F8" s="1" t="s">
        <v>66</v>
      </c>
      <c r="G8" s="1" t="s">
        <v>67</v>
      </c>
      <c r="H8" s="1" t="s">
        <v>26</v>
      </c>
      <c r="I8" s="1" t="s">
        <v>26</v>
      </c>
      <c r="J8" s="1" t="s">
        <v>68</v>
      </c>
      <c r="K8" s="1" t="s">
        <v>69</v>
      </c>
      <c r="L8" s="1">
        <v>457</v>
      </c>
      <c r="M8" s="1">
        <v>180</v>
      </c>
      <c r="N8" s="1">
        <v>82260</v>
      </c>
      <c r="O8" s="1">
        <v>325</v>
      </c>
      <c r="P8" s="1">
        <v>125</v>
      </c>
      <c r="Q8" s="1">
        <v>8</v>
      </c>
      <c r="R8" s="2">
        <v>46230</v>
      </c>
      <c r="S8" s="2">
        <v>46230</v>
      </c>
      <c r="T8" s="1" t="s">
        <v>37</v>
      </c>
    </row>
    <row r="9" spans="1:20" x14ac:dyDescent="0.35">
      <c r="A9" s="1" t="s">
        <v>70</v>
      </c>
      <c r="B9" s="2">
        <v>46227</v>
      </c>
      <c r="C9" s="1" t="s">
        <v>71</v>
      </c>
      <c r="D9" s="1" t="s">
        <v>72</v>
      </c>
      <c r="E9" s="1" t="s">
        <v>73</v>
      </c>
      <c r="F9" s="1" t="s">
        <v>24</v>
      </c>
      <c r="G9" s="1" t="s">
        <v>67</v>
      </c>
      <c r="H9" s="1" t="s">
        <v>26</v>
      </c>
      <c r="I9" s="1" t="s">
        <v>26</v>
      </c>
      <c r="J9" s="1" t="s">
        <v>74</v>
      </c>
      <c r="K9" s="1" t="s">
        <v>28</v>
      </c>
      <c r="L9" s="1">
        <v>127</v>
      </c>
      <c r="M9" s="1">
        <v>0.8</v>
      </c>
      <c r="N9" s="1">
        <v>101.6</v>
      </c>
      <c r="O9" s="1">
        <v>83</v>
      </c>
      <c r="P9" s="1">
        <v>75</v>
      </c>
      <c r="Q9" s="1">
        <v>10</v>
      </c>
      <c r="R9" s="2">
        <v>46237</v>
      </c>
      <c r="S9" s="2">
        <v>46238</v>
      </c>
      <c r="T9" s="1" t="s">
        <v>29</v>
      </c>
    </row>
    <row r="10" spans="1:20" x14ac:dyDescent="0.35">
      <c r="A10" s="1" t="s">
        <v>75</v>
      </c>
      <c r="B10" s="2">
        <v>46221</v>
      </c>
      <c r="C10" s="1" t="s">
        <v>76</v>
      </c>
      <c r="D10" s="1" t="s">
        <v>61</v>
      </c>
      <c r="E10" s="1" t="s">
        <v>49</v>
      </c>
      <c r="F10" s="1" t="s">
        <v>57</v>
      </c>
      <c r="G10" s="1" t="s">
        <v>26</v>
      </c>
      <c r="H10" s="1" t="s">
        <v>35</v>
      </c>
      <c r="I10" s="1" t="s">
        <v>35</v>
      </c>
      <c r="J10" s="1" t="s">
        <v>58</v>
      </c>
      <c r="K10" s="1" t="s">
        <v>28</v>
      </c>
      <c r="L10" s="1">
        <v>132</v>
      </c>
      <c r="M10" s="1">
        <v>18</v>
      </c>
      <c r="N10" s="1">
        <v>2376</v>
      </c>
      <c r="O10" s="1">
        <v>205</v>
      </c>
      <c r="P10" s="1">
        <v>100</v>
      </c>
      <c r="Q10" s="1">
        <v>7</v>
      </c>
      <c r="R10" s="2">
        <v>46228</v>
      </c>
      <c r="S10" s="2">
        <v>46228</v>
      </c>
      <c r="T10" s="1" t="s">
        <v>37</v>
      </c>
    </row>
    <row r="11" spans="1:20" x14ac:dyDescent="0.35">
      <c r="A11" s="1" t="s">
        <v>77</v>
      </c>
      <c r="B11" s="2">
        <v>46217</v>
      </c>
      <c r="C11" s="1" t="s">
        <v>78</v>
      </c>
      <c r="D11" s="1" t="s">
        <v>32</v>
      </c>
      <c r="E11" s="1" t="s">
        <v>33</v>
      </c>
      <c r="F11" s="1" t="s">
        <v>57</v>
      </c>
      <c r="G11" s="1" t="s">
        <v>25</v>
      </c>
      <c r="H11" s="1" t="s">
        <v>26</v>
      </c>
      <c r="I11" s="1" t="s">
        <v>26</v>
      </c>
      <c r="J11" s="1" t="s">
        <v>45</v>
      </c>
      <c r="K11" s="1" t="s">
        <v>69</v>
      </c>
      <c r="L11" s="1">
        <v>468</v>
      </c>
      <c r="M11" s="1">
        <v>420</v>
      </c>
      <c r="N11" s="1">
        <v>196560</v>
      </c>
      <c r="O11" s="1">
        <v>73</v>
      </c>
      <c r="P11" s="1">
        <v>125</v>
      </c>
      <c r="Q11" s="1">
        <v>7</v>
      </c>
      <c r="R11" s="2">
        <v>46224</v>
      </c>
      <c r="S11" s="2">
        <v>46224</v>
      </c>
      <c r="T11" s="1" t="s">
        <v>37</v>
      </c>
    </row>
    <row r="12" spans="1:20" x14ac:dyDescent="0.35">
      <c r="A12" s="1" t="s">
        <v>79</v>
      </c>
      <c r="B12" s="2">
        <v>46219</v>
      </c>
      <c r="C12" s="1" t="s">
        <v>80</v>
      </c>
      <c r="D12" s="1" t="s">
        <v>61</v>
      </c>
      <c r="E12" s="1" t="s">
        <v>49</v>
      </c>
      <c r="F12" s="1" t="s">
        <v>24</v>
      </c>
      <c r="G12" s="1" t="s">
        <v>67</v>
      </c>
      <c r="H12" s="1" t="s">
        <v>35</v>
      </c>
      <c r="I12" s="1" t="s">
        <v>35</v>
      </c>
      <c r="J12" s="1" t="s">
        <v>74</v>
      </c>
      <c r="K12" s="1" t="s">
        <v>69</v>
      </c>
      <c r="L12" s="1">
        <v>295</v>
      </c>
      <c r="M12" s="1">
        <v>18</v>
      </c>
      <c r="N12" s="1">
        <v>5310</v>
      </c>
      <c r="O12" s="1">
        <v>185</v>
      </c>
      <c r="P12" s="1">
        <v>125</v>
      </c>
      <c r="Q12" s="1">
        <v>6</v>
      </c>
      <c r="R12" s="2">
        <v>46225</v>
      </c>
      <c r="S12" s="2">
        <v>46225</v>
      </c>
      <c r="T12" s="1" t="s">
        <v>37</v>
      </c>
    </row>
    <row r="13" spans="1:20" x14ac:dyDescent="0.35">
      <c r="A13" s="1" t="s">
        <v>81</v>
      </c>
      <c r="B13" s="2">
        <v>46236</v>
      </c>
      <c r="C13" s="1" t="s">
        <v>82</v>
      </c>
      <c r="D13" s="1" t="s">
        <v>83</v>
      </c>
      <c r="E13" s="1" t="s">
        <v>41</v>
      </c>
      <c r="F13" s="1" t="s">
        <v>34</v>
      </c>
      <c r="G13" s="1" t="s">
        <v>67</v>
      </c>
      <c r="H13" s="1" t="s">
        <v>26</v>
      </c>
      <c r="I13" s="1" t="s">
        <v>26</v>
      </c>
      <c r="J13" s="1" t="s">
        <v>63</v>
      </c>
      <c r="K13" s="1" t="s">
        <v>28</v>
      </c>
      <c r="L13" s="1">
        <v>66</v>
      </c>
      <c r="M13" s="1">
        <v>15</v>
      </c>
      <c r="N13" s="1">
        <v>990</v>
      </c>
      <c r="O13" s="1">
        <v>348</v>
      </c>
      <c r="P13" s="1">
        <v>75</v>
      </c>
      <c r="Q13" s="1">
        <v>9</v>
      </c>
      <c r="R13" s="2">
        <v>46245</v>
      </c>
      <c r="S13" s="2">
        <v>46247</v>
      </c>
      <c r="T13" s="1" t="s">
        <v>29</v>
      </c>
    </row>
    <row r="14" spans="1:20" x14ac:dyDescent="0.35">
      <c r="A14" s="1" t="s">
        <v>84</v>
      </c>
      <c r="B14" s="2">
        <v>46208</v>
      </c>
      <c r="C14" s="1" t="s">
        <v>85</v>
      </c>
      <c r="D14" s="1" t="s">
        <v>55</v>
      </c>
      <c r="E14" s="1" t="s">
        <v>56</v>
      </c>
      <c r="F14" s="1" t="s">
        <v>62</v>
      </c>
      <c r="G14" s="1" t="s">
        <v>26</v>
      </c>
      <c r="H14" s="1" t="s">
        <v>86</v>
      </c>
      <c r="I14" s="1" t="s">
        <v>86</v>
      </c>
      <c r="J14" s="1" t="s">
        <v>74</v>
      </c>
      <c r="K14" s="1" t="s">
        <v>52</v>
      </c>
      <c r="L14" s="1">
        <v>215</v>
      </c>
      <c r="M14" s="1">
        <v>320</v>
      </c>
      <c r="N14" s="1">
        <v>68800</v>
      </c>
      <c r="O14" s="1">
        <v>348</v>
      </c>
      <c r="P14" s="1">
        <v>50</v>
      </c>
      <c r="Q14" s="1">
        <v>14</v>
      </c>
      <c r="R14" s="2">
        <v>46222</v>
      </c>
      <c r="S14" s="2">
        <v>46222</v>
      </c>
      <c r="T14" s="1" t="s">
        <v>37</v>
      </c>
    </row>
    <row r="15" spans="1:20" x14ac:dyDescent="0.35">
      <c r="A15" s="1" t="s">
        <v>87</v>
      </c>
      <c r="B15" s="2">
        <v>46247</v>
      </c>
      <c r="C15" s="1" t="s">
        <v>88</v>
      </c>
      <c r="D15" s="1" t="s">
        <v>61</v>
      </c>
      <c r="E15" s="1" t="s">
        <v>49</v>
      </c>
      <c r="F15" s="1" t="s">
        <v>24</v>
      </c>
      <c r="G15" s="1" t="s">
        <v>51</v>
      </c>
      <c r="H15" s="1" t="s">
        <v>25</v>
      </c>
      <c r="I15" s="1" t="s">
        <v>25</v>
      </c>
      <c r="J15" s="1" t="s">
        <v>68</v>
      </c>
      <c r="K15" s="1" t="s">
        <v>36</v>
      </c>
      <c r="L15" s="1">
        <v>404</v>
      </c>
      <c r="M15" s="1">
        <v>18</v>
      </c>
      <c r="N15" s="1">
        <v>7272</v>
      </c>
      <c r="O15" s="1">
        <v>80</v>
      </c>
      <c r="P15" s="1">
        <v>125</v>
      </c>
      <c r="Q15" s="1">
        <v>10</v>
      </c>
      <c r="R15" s="2">
        <v>46257</v>
      </c>
      <c r="S15" s="2">
        <v>46257</v>
      </c>
      <c r="T15" s="1" t="s">
        <v>37</v>
      </c>
    </row>
    <row r="16" spans="1:20" x14ac:dyDescent="0.35">
      <c r="A16" s="1" t="s">
        <v>89</v>
      </c>
      <c r="B16" s="2">
        <v>46220</v>
      </c>
      <c r="C16" s="1" t="s">
        <v>90</v>
      </c>
      <c r="D16" s="1" t="s">
        <v>61</v>
      </c>
      <c r="E16" s="1" t="s">
        <v>49</v>
      </c>
      <c r="F16" s="1" t="s">
        <v>91</v>
      </c>
      <c r="G16" s="1" t="s">
        <v>92</v>
      </c>
      <c r="H16" s="1" t="s">
        <v>26</v>
      </c>
      <c r="I16" s="1" t="s">
        <v>26</v>
      </c>
      <c r="J16" s="1" t="s">
        <v>63</v>
      </c>
      <c r="K16" s="1" t="s">
        <v>36</v>
      </c>
      <c r="L16" s="1">
        <v>410</v>
      </c>
      <c r="M16" s="1">
        <v>18</v>
      </c>
      <c r="N16" s="1">
        <v>7380</v>
      </c>
      <c r="O16" s="1">
        <v>327</v>
      </c>
      <c r="P16" s="1">
        <v>100</v>
      </c>
      <c r="Q16" s="1">
        <v>11</v>
      </c>
      <c r="R16" s="2">
        <v>46231</v>
      </c>
      <c r="S16" s="2">
        <v>46233</v>
      </c>
      <c r="T16" s="1" t="s">
        <v>29</v>
      </c>
    </row>
    <row r="17" spans="1:20" x14ac:dyDescent="0.35">
      <c r="A17" s="1" t="s">
        <v>93</v>
      </c>
      <c r="B17" s="2">
        <v>46216</v>
      </c>
      <c r="C17" s="1" t="s">
        <v>94</v>
      </c>
      <c r="D17" s="1" t="s">
        <v>48</v>
      </c>
      <c r="E17" s="1" t="s">
        <v>49</v>
      </c>
      <c r="F17" s="1" t="s">
        <v>91</v>
      </c>
      <c r="G17" s="1" t="s">
        <v>92</v>
      </c>
      <c r="H17" s="1" t="s">
        <v>26</v>
      </c>
      <c r="I17" s="1" t="s">
        <v>26</v>
      </c>
      <c r="J17" s="1" t="s">
        <v>74</v>
      </c>
      <c r="K17" s="1" t="s">
        <v>36</v>
      </c>
      <c r="L17" s="1">
        <v>211</v>
      </c>
      <c r="M17" s="1">
        <v>12</v>
      </c>
      <c r="N17" s="1">
        <v>2532</v>
      </c>
      <c r="O17" s="1">
        <v>250</v>
      </c>
      <c r="P17" s="1">
        <v>100</v>
      </c>
      <c r="Q17" s="1">
        <v>3</v>
      </c>
      <c r="R17" s="2">
        <v>46219</v>
      </c>
      <c r="S17" s="2">
        <v>46219</v>
      </c>
      <c r="T17" s="1" t="s">
        <v>37</v>
      </c>
    </row>
    <row r="18" spans="1:20" x14ac:dyDescent="0.35">
      <c r="A18" s="1" t="s">
        <v>95</v>
      </c>
      <c r="B18" s="2">
        <v>46227</v>
      </c>
      <c r="C18" s="1" t="s">
        <v>96</v>
      </c>
      <c r="D18" s="1" t="s">
        <v>97</v>
      </c>
      <c r="E18" s="1" t="s">
        <v>23</v>
      </c>
      <c r="F18" s="1" t="s">
        <v>34</v>
      </c>
      <c r="G18" s="1" t="s">
        <v>25</v>
      </c>
      <c r="H18" s="1" t="s">
        <v>26</v>
      </c>
      <c r="I18" s="1" t="s">
        <v>26</v>
      </c>
      <c r="J18" s="1" t="s">
        <v>58</v>
      </c>
      <c r="K18" s="1" t="s">
        <v>36</v>
      </c>
      <c r="L18" s="1">
        <v>142</v>
      </c>
      <c r="M18" s="1">
        <v>28</v>
      </c>
      <c r="N18" s="1">
        <v>3976</v>
      </c>
      <c r="O18" s="1">
        <v>35</v>
      </c>
      <c r="P18" s="1">
        <v>125</v>
      </c>
      <c r="Q18" s="1">
        <v>15</v>
      </c>
      <c r="R18" s="2">
        <v>46242</v>
      </c>
      <c r="S18" s="2">
        <v>46244</v>
      </c>
      <c r="T18" s="1" t="s">
        <v>29</v>
      </c>
    </row>
    <row r="19" spans="1:20" x14ac:dyDescent="0.35">
      <c r="A19" s="1" t="s">
        <v>98</v>
      </c>
      <c r="B19" s="2">
        <v>46212</v>
      </c>
      <c r="C19" s="1" t="s">
        <v>99</v>
      </c>
      <c r="D19" s="1" t="s">
        <v>48</v>
      </c>
      <c r="E19" s="1" t="s">
        <v>49</v>
      </c>
      <c r="F19" s="1" t="s">
        <v>100</v>
      </c>
      <c r="G19" s="1" t="s">
        <v>92</v>
      </c>
      <c r="H19" s="1" t="s">
        <v>26</v>
      </c>
      <c r="I19" s="1" t="s">
        <v>26</v>
      </c>
      <c r="J19" s="1" t="s">
        <v>68</v>
      </c>
      <c r="K19" s="1" t="s">
        <v>28</v>
      </c>
      <c r="L19" s="1">
        <v>357</v>
      </c>
      <c r="M19" s="1">
        <v>12</v>
      </c>
      <c r="N19" s="1">
        <v>4284</v>
      </c>
      <c r="O19" s="1">
        <v>310</v>
      </c>
      <c r="P19" s="1">
        <v>150</v>
      </c>
      <c r="Q19" s="1">
        <v>9</v>
      </c>
      <c r="R19" s="2">
        <v>46221</v>
      </c>
      <c r="S19" s="2">
        <v>46221</v>
      </c>
      <c r="T19" s="1" t="s">
        <v>37</v>
      </c>
    </row>
    <row r="20" spans="1:20" x14ac:dyDescent="0.35">
      <c r="A20" s="1" t="s">
        <v>101</v>
      </c>
      <c r="B20" s="2">
        <v>46238</v>
      </c>
      <c r="C20" s="1" t="s">
        <v>102</v>
      </c>
      <c r="D20" s="1" t="s">
        <v>40</v>
      </c>
      <c r="E20" s="1" t="s">
        <v>41</v>
      </c>
      <c r="F20" s="1" t="s">
        <v>24</v>
      </c>
      <c r="G20" s="1" t="s">
        <v>43</v>
      </c>
      <c r="H20" s="1" t="s">
        <v>44</v>
      </c>
      <c r="I20" s="1" t="s">
        <v>44</v>
      </c>
      <c r="J20" s="1" t="s">
        <v>45</v>
      </c>
      <c r="K20" s="1" t="s">
        <v>52</v>
      </c>
      <c r="L20" s="1">
        <v>385</v>
      </c>
      <c r="M20" s="1">
        <v>4.5</v>
      </c>
      <c r="N20" s="1">
        <v>1732.5</v>
      </c>
      <c r="O20" s="1">
        <v>231</v>
      </c>
      <c r="P20" s="1">
        <v>150</v>
      </c>
      <c r="Q20" s="1">
        <v>4</v>
      </c>
      <c r="R20" s="2">
        <v>46242</v>
      </c>
      <c r="S20" s="2">
        <v>46242</v>
      </c>
      <c r="T20" s="1" t="s">
        <v>37</v>
      </c>
    </row>
    <row r="21" spans="1:20" x14ac:dyDescent="0.35">
      <c r="A21" s="1" t="s">
        <v>103</v>
      </c>
      <c r="B21" s="2">
        <v>46218</v>
      </c>
      <c r="C21" s="1" t="s">
        <v>104</v>
      </c>
      <c r="D21" s="1" t="s">
        <v>22</v>
      </c>
      <c r="E21" s="1" t="s">
        <v>23</v>
      </c>
      <c r="F21" s="1" t="s">
        <v>34</v>
      </c>
      <c r="G21" s="1" t="s">
        <v>67</v>
      </c>
      <c r="H21" s="1" t="s">
        <v>35</v>
      </c>
      <c r="I21" s="1" t="s">
        <v>35</v>
      </c>
      <c r="J21" s="1" t="s">
        <v>74</v>
      </c>
      <c r="K21" s="1" t="s">
        <v>28</v>
      </c>
      <c r="L21" s="1">
        <v>193</v>
      </c>
      <c r="M21" s="1">
        <v>180</v>
      </c>
      <c r="N21" s="1">
        <v>34740</v>
      </c>
      <c r="O21" s="1">
        <v>3</v>
      </c>
      <c r="P21" s="1">
        <v>75</v>
      </c>
      <c r="Q21" s="1">
        <v>4</v>
      </c>
      <c r="R21" s="2">
        <v>46222</v>
      </c>
      <c r="S21" s="2">
        <v>46225</v>
      </c>
      <c r="T21" s="1" t="s">
        <v>29</v>
      </c>
    </row>
    <row r="22" spans="1:20" x14ac:dyDescent="0.35">
      <c r="A22" s="1" t="s">
        <v>105</v>
      </c>
      <c r="B22" s="2">
        <v>46244</v>
      </c>
      <c r="C22" s="1" t="s">
        <v>106</v>
      </c>
      <c r="D22" s="1" t="s">
        <v>107</v>
      </c>
      <c r="E22" s="1" t="s">
        <v>56</v>
      </c>
      <c r="F22" s="1" t="s">
        <v>108</v>
      </c>
      <c r="G22" s="1" t="s">
        <v>26</v>
      </c>
      <c r="H22" s="1" t="s">
        <v>35</v>
      </c>
      <c r="I22" s="1" t="s">
        <v>35</v>
      </c>
      <c r="J22" s="1" t="s">
        <v>58</v>
      </c>
      <c r="K22" s="1" t="s">
        <v>52</v>
      </c>
      <c r="L22" s="1">
        <v>137</v>
      </c>
      <c r="M22" s="1">
        <v>650</v>
      </c>
      <c r="N22" s="1">
        <v>89050</v>
      </c>
      <c r="O22" s="1">
        <v>121</v>
      </c>
      <c r="P22" s="1">
        <v>150</v>
      </c>
      <c r="Q22" s="1">
        <v>7</v>
      </c>
      <c r="R22" s="2">
        <v>46251</v>
      </c>
      <c r="S22" s="2">
        <v>46254</v>
      </c>
      <c r="T22" s="1" t="s">
        <v>29</v>
      </c>
    </row>
    <row r="23" spans="1:20" x14ac:dyDescent="0.35">
      <c r="A23" s="1" t="s">
        <v>109</v>
      </c>
      <c r="B23" s="2">
        <v>46235</v>
      </c>
      <c r="C23" s="1" t="s">
        <v>110</v>
      </c>
      <c r="D23" s="1" t="s">
        <v>40</v>
      </c>
      <c r="E23" s="1" t="s">
        <v>41</v>
      </c>
      <c r="F23" s="1" t="s">
        <v>91</v>
      </c>
      <c r="G23" s="1" t="s">
        <v>67</v>
      </c>
      <c r="H23" s="1" t="s">
        <v>35</v>
      </c>
      <c r="I23" s="1" t="s">
        <v>35</v>
      </c>
      <c r="J23" s="1" t="s">
        <v>27</v>
      </c>
      <c r="K23" s="1" t="s">
        <v>69</v>
      </c>
      <c r="L23" s="1">
        <v>296</v>
      </c>
      <c r="M23" s="1">
        <v>4.5</v>
      </c>
      <c r="N23" s="1">
        <v>1332</v>
      </c>
      <c r="O23" s="1">
        <v>208</v>
      </c>
      <c r="P23" s="1">
        <v>125</v>
      </c>
      <c r="Q23" s="1">
        <v>6</v>
      </c>
      <c r="R23" s="2">
        <v>46241</v>
      </c>
      <c r="S23" s="2">
        <v>46241</v>
      </c>
      <c r="T23" s="1" t="s">
        <v>37</v>
      </c>
    </row>
    <row r="24" spans="1:20" x14ac:dyDescent="0.35">
      <c r="A24" s="1" t="s">
        <v>111</v>
      </c>
      <c r="B24" s="2">
        <v>46210</v>
      </c>
      <c r="C24" s="1" t="s">
        <v>112</v>
      </c>
      <c r="D24" s="1" t="s">
        <v>55</v>
      </c>
      <c r="E24" s="1" t="s">
        <v>56</v>
      </c>
      <c r="F24" s="1" t="s">
        <v>50</v>
      </c>
      <c r="G24" s="1" t="s">
        <v>43</v>
      </c>
      <c r="H24" s="1" t="s">
        <v>44</v>
      </c>
      <c r="I24" s="1" t="s">
        <v>44</v>
      </c>
      <c r="J24" s="1" t="s">
        <v>63</v>
      </c>
      <c r="K24" s="1" t="s">
        <v>69</v>
      </c>
      <c r="L24" s="1">
        <v>201</v>
      </c>
      <c r="M24" s="1">
        <v>320</v>
      </c>
      <c r="N24" s="1">
        <v>64320</v>
      </c>
      <c r="O24" s="1">
        <v>344</v>
      </c>
      <c r="P24" s="1">
        <v>50</v>
      </c>
      <c r="Q24" s="1">
        <v>13</v>
      </c>
      <c r="R24" s="2">
        <v>46223</v>
      </c>
      <c r="S24" s="2">
        <v>46226</v>
      </c>
      <c r="T24" s="1" t="s">
        <v>29</v>
      </c>
    </row>
    <row r="25" spans="1:20" x14ac:dyDescent="0.35">
      <c r="A25" s="1" t="s">
        <v>113</v>
      </c>
      <c r="B25" s="2">
        <v>46210</v>
      </c>
      <c r="C25" s="1" t="s">
        <v>114</v>
      </c>
      <c r="D25" s="1" t="s">
        <v>107</v>
      </c>
      <c r="E25" s="1" t="s">
        <v>56</v>
      </c>
      <c r="F25" s="1" t="s">
        <v>57</v>
      </c>
      <c r="G25" s="1" t="s">
        <v>67</v>
      </c>
      <c r="H25" s="1" t="s">
        <v>26</v>
      </c>
      <c r="I25" s="1" t="s">
        <v>26</v>
      </c>
      <c r="J25" s="1" t="s">
        <v>27</v>
      </c>
      <c r="K25" s="1" t="s">
        <v>28</v>
      </c>
      <c r="L25" s="1">
        <v>226</v>
      </c>
      <c r="M25" s="1">
        <v>650</v>
      </c>
      <c r="N25" s="1">
        <v>146900</v>
      </c>
      <c r="O25" s="1">
        <v>274</v>
      </c>
      <c r="P25" s="1">
        <v>75</v>
      </c>
      <c r="Q25" s="1">
        <v>10</v>
      </c>
      <c r="R25" s="2">
        <v>46220</v>
      </c>
      <c r="S25" s="2">
        <v>46220</v>
      </c>
      <c r="T25" s="1" t="s">
        <v>37</v>
      </c>
    </row>
    <row r="26" spans="1:20" x14ac:dyDescent="0.35">
      <c r="A26" s="1" t="s">
        <v>115</v>
      </c>
      <c r="B26" s="2">
        <v>46231</v>
      </c>
      <c r="C26" s="1" t="s">
        <v>116</v>
      </c>
      <c r="D26" s="1" t="s">
        <v>48</v>
      </c>
      <c r="E26" s="1" t="s">
        <v>49</v>
      </c>
      <c r="F26" s="1" t="s">
        <v>100</v>
      </c>
      <c r="G26" s="1" t="s">
        <v>25</v>
      </c>
      <c r="H26" s="1" t="s">
        <v>26</v>
      </c>
      <c r="I26" s="1" t="s">
        <v>26</v>
      </c>
      <c r="J26" s="1" t="s">
        <v>45</v>
      </c>
      <c r="K26" s="1" t="s">
        <v>36</v>
      </c>
      <c r="L26" s="1">
        <v>162</v>
      </c>
      <c r="M26" s="1">
        <v>12</v>
      </c>
      <c r="N26" s="1">
        <v>1944</v>
      </c>
      <c r="O26" s="1">
        <v>50</v>
      </c>
      <c r="P26" s="1">
        <v>150</v>
      </c>
      <c r="Q26" s="1">
        <v>3</v>
      </c>
      <c r="R26" s="2">
        <v>46234</v>
      </c>
      <c r="S26" s="2">
        <v>46237</v>
      </c>
      <c r="T26" s="1" t="s">
        <v>29</v>
      </c>
    </row>
    <row r="27" spans="1:20" x14ac:dyDescent="0.35">
      <c r="A27" s="1" t="s">
        <v>117</v>
      </c>
      <c r="B27" s="2">
        <v>46238</v>
      </c>
      <c r="C27" s="1" t="s">
        <v>118</v>
      </c>
      <c r="D27" s="1" t="s">
        <v>107</v>
      </c>
      <c r="E27" s="1" t="s">
        <v>56</v>
      </c>
      <c r="F27" s="1" t="s">
        <v>66</v>
      </c>
      <c r="G27" s="1" t="s">
        <v>92</v>
      </c>
      <c r="H27" s="1" t="s">
        <v>44</v>
      </c>
      <c r="I27" s="1" t="s">
        <v>44</v>
      </c>
      <c r="J27" s="1" t="s">
        <v>45</v>
      </c>
      <c r="K27" s="1" t="s">
        <v>69</v>
      </c>
      <c r="L27" s="1">
        <v>67</v>
      </c>
      <c r="M27" s="1">
        <v>650</v>
      </c>
      <c r="N27" s="1">
        <v>43550</v>
      </c>
      <c r="O27" s="1">
        <v>109</v>
      </c>
      <c r="P27" s="1">
        <v>125</v>
      </c>
      <c r="Q27" s="1">
        <v>9</v>
      </c>
      <c r="R27" s="2">
        <v>46247</v>
      </c>
      <c r="S27" s="2">
        <v>46247</v>
      </c>
      <c r="T27" s="1" t="s">
        <v>37</v>
      </c>
    </row>
    <row r="28" spans="1:20" x14ac:dyDescent="0.35">
      <c r="A28" s="1" t="s">
        <v>119</v>
      </c>
      <c r="B28" s="2">
        <v>46214</v>
      </c>
      <c r="C28" s="1" t="s">
        <v>120</v>
      </c>
      <c r="D28" s="1" t="s">
        <v>55</v>
      </c>
      <c r="E28" s="1" t="s">
        <v>56</v>
      </c>
      <c r="F28" s="1" t="s">
        <v>50</v>
      </c>
      <c r="G28" s="1" t="s">
        <v>121</v>
      </c>
      <c r="H28" s="1" t="s">
        <v>35</v>
      </c>
      <c r="I28" s="1" t="s">
        <v>35</v>
      </c>
      <c r="J28" s="1" t="s">
        <v>68</v>
      </c>
      <c r="K28" s="1" t="s">
        <v>69</v>
      </c>
      <c r="L28" s="1">
        <v>21</v>
      </c>
      <c r="M28" s="1">
        <v>320</v>
      </c>
      <c r="N28" s="1">
        <v>6720</v>
      </c>
      <c r="O28" s="1">
        <v>356</v>
      </c>
      <c r="P28" s="1">
        <v>125</v>
      </c>
      <c r="Q28" s="1">
        <v>14</v>
      </c>
      <c r="R28" s="2">
        <v>46228</v>
      </c>
      <c r="S28" s="2">
        <v>46233</v>
      </c>
      <c r="T28" s="1" t="s">
        <v>29</v>
      </c>
    </row>
    <row r="29" spans="1:20" x14ac:dyDescent="0.35">
      <c r="A29" s="1" t="s">
        <v>122</v>
      </c>
      <c r="B29" s="2">
        <v>46239</v>
      </c>
      <c r="C29" s="1" t="s">
        <v>123</v>
      </c>
      <c r="D29" s="1" t="s">
        <v>83</v>
      </c>
      <c r="E29" s="1" t="s">
        <v>41</v>
      </c>
      <c r="F29" s="1" t="s">
        <v>66</v>
      </c>
      <c r="G29" s="1" t="s">
        <v>121</v>
      </c>
      <c r="H29" s="1" t="s">
        <v>35</v>
      </c>
      <c r="I29" s="1" t="s">
        <v>35</v>
      </c>
      <c r="J29" s="1" t="s">
        <v>58</v>
      </c>
      <c r="K29" s="1" t="s">
        <v>28</v>
      </c>
      <c r="L29" s="1">
        <v>99</v>
      </c>
      <c r="M29" s="1">
        <v>15</v>
      </c>
      <c r="N29" s="1">
        <v>1485</v>
      </c>
      <c r="O29" s="1">
        <v>376</v>
      </c>
      <c r="P29" s="1">
        <v>150</v>
      </c>
      <c r="Q29" s="1">
        <v>11</v>
      </c>
      <c r="R29" s="2">
        <v>46250</v>
      </c>
      <c r="S29" s="2">
        <v>46250</v>
      </c>
      <c r="T29" s="1" t="s">
        <v>37</v>
      </c>
    </row>
    <row r="30" spans="1:20" x14ac:dyDescent="0.35">
      <c r="A30" s="1" t="s">
        <v>124</v>
      </c>
      <c r="B30" s="2">
        <v>46224</v>
      </c>
      <c r="C30" s="1" t="s">
        <v>125</v>
      </c>
      <c r="D30" s="1" t="s">
        <v>107</v>
      </c>
      <c r="E30" s="1" t="s">
        <v>56</v>
      </c>
      <c r="F30" s="1" t="s">
        <v>62</v>
      </c>
      <c r="G30" s="1" t="s">
        <v>26</v>
      </c>
      <c r="H30" s="1" t="s">
        <v>86</v>
      </c>
      <c r="I30" s="1" t="s">
        <v>86</v>
      </c>
      <c r="J30" s="1" t="s">
        <v>58</v>
      </c>
      <c r="K30" s="1" t="s">
        <v>28</v>
      </c>
      <c r="L30" s="1">
        <v>45</v>
      </c>
      <c r="M30" s="1">
        <v>650</v>
      </c>
      <c r="N30" s="1">
        <v>29250</v>
      </c>
      <c r="O30" s="1">
        <v>41</v>
      </c>
      <c r="P30" s="1">
        <v>150</v>
      </c>
      <c r="Q30" s="1">
        <v>5</v>
      </c>
      <c r="R30" s="2">
        <v>46229</v>
      </c>
      <c r="S30" s="2">
        <v>46229</v>
      </c>
      <c r="T30" s="1" t="s">
        <v>37</v>
      </c>
    </row>
    <row r="31" spans="1:20" x14ac:dyDescent="0.35">
      <c r="A31" s="1" t="s">
        <v>126</v>
      </c>
      <c r="B31" s="2">
        <v>46242</v>
      </c>
      <c r="C31" s="1" t="s">
        <v>127</v>
      </c>
      <c r="D31" s="1" t="s">
        <v>22</v>
      </c>
      <c r="E31" s="1" t="s">
        <v>23</v>
      </c>
      <c r="F31" s="1" t="s">
        <v>66</v>
      </c>
      <c r="G31" s="1" t="s">
        <v>43</v>
      </c>
      <c r="H31" s="1" t="s">
        <v>44</v>
      </c>
      <c r="I31" s="1" t="s">
        <v>44</v>
      </c>
      <c r="J31" s="1" t="s">
        <v>74</v>
      </c>
      <c r="K31" s="1" t="s">
        <v>36</v>
      </c>
      <c r="L31" s="1">
        <v>365</v>
      </c>
      <c r="M31" s="1">
        <v>180</v>
      </c>
      <c r="N31" s="1">
        <v>65700</v>
      </c>
      <c r="O31" s="1">
        <v>296</v>
      </c>
      <c r="P31" s="1">
        <v>75</v>
      </c>
      <c r="Q31" s="1">
        <v>12</v>
      </c>
      <c r="R31" s="2">
        <v>46254</v>
      </c>
      <c r="S31" s="2">
        <v>46254</v>
      </c>
      <c r="T31" s="1"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92A7-307A-475A-A254-AFF06EB1871C}">
  <dimension ref="A1:AD31"/>
  <sheetViews>
    <sheetView topLeftCell="P1" workbookViewId="0">
      <pane ySplit="1" topLeftCell="A10" activePane="bottomLeft" state="frozen"/>
      <selection pane="bottomLeft" activeCell="Q20" sqref="Q20"/>
    </sheetView>
  </sheetViews>
  <sheetFormatPr defaultRowHeight="14.5" x14ac:dyDescent="0.35"/>
  <cols>
    <col min="1" max="1" width="9.90625" bestFit="1" customWidth="1"/>
    <col min="2" max="2" width="12" bestFit="1" customWidth="1"/>
    <col min="3" max="3" width="19.54296875" bestFit="1" customWidth="1"/>
    <col min="4" max="4" width="16" bestFit="1" customWidth="1"/>
    <col min="5" max="5" width="19.1796875" bestFit="1" customWidth="1"/>
    <col min="6" max="6" width="17.08984375" bestFit="1" customWidth="1"/>
    <col min="7" max="7" width="10.453125" bestFit="1" customWidth="1"/>
    <col min="8" max="8" width="12.81640625" bestFit="1" customWidth="1"/>
    <col min="9" max="9" width="9.6328125" bestFit="1" customWidth="1"/>
    <col min="10" max="10" width="14.7265625" bestFit="1" customWidth="1"/>
    <col min="11" max="11" width="16" bestFit="1" customWidth="1"/>
    <col min="12" max="12" width="10.26953125" bestFit="1" customWidth="1"/>
    <col min="13" max="13" width="10.81640625" bestFit="1" customWidth="1"/>
    <col min="14" max="14" width="12.81640625" bestFit="1" customWidth="1"/>
    <col min="15" max="15" width="14.54296875" bestFit="1" customWidth="1"/>
    <col min="16" max="16" width="14.36328125" bestFit="1" customWidth="1"/>
    <col min="17" max="17" width="17.36328125" bestFit="1" customWidth="1"/>
    <col min="18" max="18" width="15.36328125" bestFit="1" customWidth="1"/>
    <col min="19" max="19" width="14.1796875" bestFit="1" customWidth="1"/>
    <col min="20" max="20" width="15.7265625" bestFit="1" customWidth="1"/>
    <col min="21" max="21" width="19.6328125" bestFit="1" customWidth="1"/>
    <col min="22" max="22" width="14" bestFit="1" customWidth="1"/>
    <col min="23" max="23" width="11.6328125" bestFit="1" customWidth="1"/>
    <col min="24" max="24" width="16.36328125" customWidth="1"/>
    <col min="25" max="25" width="15" bestFit="1" customWidth="1"/>
    <col min="26" max="26" width="15.36328125" bestFit="1" customWidth="1"/>
    <col min="27" max="27" width="18.54296875" bestFit="1" customWidth="1"/>
    <col min="28" max="28" width="19.08984375" customWidth="1"/>
    <col min="29" max="29" width="19.6328125" bestFit="1" customWidth="1"/>
    <col min="30" max="30" width="15.6328125" bestFit="1"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228</v>
      </c>
      <c r="V1" t="s">
        <v>229</v>
      </c>
      <c r="W1" t="s">
        <v>230</v>
      </c>
      <c r="X1" t="s">
        <v>231</v>
      </c>
      <c r="Y1" t="s">
        <v>232</v>
      </c>
      <c r="Z1" t="s">
        <v>233</v>
      </c>
      <c r="AA1" t="s">
        <v>234</v>
      </c>
      <c r="AB1" t="s">
        <v>235</v>
      </c>
      <c r="AC1" t="s">
        <v>236</v>
      </c>
      <c r="AD1" t="s">
        <v>237</v>
      </c>
    </row>
    <row r="2" spans="1:30" x14ac:dyDescent="0.35">
      <c r="A2" t="s">
        <v>20</v>
      </c>
      <c r="B2" s="3">
        <v>46244</v>
      </c>
      <c r="C2" t="s">
        <v>21</v>
      </c>
      <c r="D2" t="s">
        <v>22</v>
      </c>
      <c r="E2" t="s">
        <v>23</v>
      </c>
      <c r="F2" t="s">
        <v>24</v>
      </c>
      <c r="G2" t="s">
        <v>25</v>
      </c>
      <c r="H2" t="s">
        <v>26</v>
      </c>
      <c r="I2" t="s">
        <v>26</v>
      </c>
      <c r="J2" t="s">
        <v>27</v>
      </c>
      <c r="K2" t="s">
        <v>28</v>
      </c>
      <c r="L2" s="4">
        <v>32</v>
      </c>
      <c r="M2" s="5">
        <v>180</v>
      </c>
      <c r="N2" s="5">
        <v>5760</v>
      </c>
      <c r="O2" s="4">
        <v>346</v>
      </c>
      <c r="P2" s="4">
        <v>50</v>
      </c>
      <c r="Q2" s="4">
        <v>14</v>
      </c>
      <c r="R2" s="3">
        <v>46258</v>
      </c>
      <c r="S2" s="3">
        <v>46260</v>
      </c>
      <c r="T2" t="s">
        <v>29</v>
      </c>
      <c r="U2" s="13">
        <f>VSCN_Clean[[#This Row],[Delivery Date]]-VSCN_Clean[[#This Row],[Promised Date]]</f>
        <v>2</v>
      </c>
      <c r="V2" s="13">
        <f>--(VSCN_Clean[[#This Row],[Delivery Date]]&lt;=VSCN_Clean[[#This Row],[Promised Date]])</f>
        <v>0</v>
      </c>
      <c r="W2" s="13">
        <f>--(VSCN_Clean[[#This Row],[Delivery Date]]&gt;VSCN_Clean[[#This Row],[Promised Date]])</f>
        <v>1</v>
      </c>
      <c r="X2" t="str">
        <f>IF(VSCN_Clean[[#This Row],[Current Stock]]&lt;=0,"Stock-out",IF(VSCN_Clean[[#This Row],[Current Stock]]&lt;VSCN_Clean[[#This Row],[Reorder Level]],"Low Stock","Healthy"))</f>
        <v>Healthy</v>
      </c>
      <c r="Y2" s="13">
        <f>--(VSCN_Clean[[#This Row],[Current Stock]]&lt;=0)</f>
        <v>0</v>
      </c>
      <c r="Z2" s="13">
        <f>--(AND(VSCN_Clean[[#This Row],[Current Stock]]&gt;0,VSCN_Clean[[#This Row],[Current Stock]]&lt;VSCN_Clean[[#This Row],[Reorder Level]]))</f>
        <v>0</v>
      </c>
      <c r="AA2" s="13">
        <f>--(VSCN_Clean[[#This Row],[Current Stock]]&gt;=VSCN_Clean[[#This Row],[Reorder Level]])</f>
        <v>1</v>
      </c>
      <c r="AB2" s="12">
        <f>IFERROR(COUNTIFS(VSCN_Clean[Supplier],VSCN_Clean[[#This Row],[Supplier]],VSCN_Clean[On-Time Flag],1)/COUNTIF(VSCN_Clean[Supplier],VSCN_Clean[[#This Row],[Supplier]]),0)</f>
        <v>0.6</v>
      </c>
      <c r="AC2" s="13">
        <f>VSCN_Clean[[#This Row],[Delivery Date]]-VSCN_Clean[[#This Row],[Order Date]]</f>
        <v>16</v>
      </c>
      <c r="AD2" s="13">
        <f>VSCN_Clean[[#This Row],[Current Stock]]-VSCN_Clean[[#This Row],[Reorder Level]]</f>
        <v>296</v>
      </c>
    </row>
    <row r="3" spans="1:30" x14ac:dyDescent="0.35">
      <c r="A3" t="s">
        <v>30</v>
      </c>
      <c r="B3" s="3">
        <v>46209</v>
      </c>
      <c r="C3" t="s">
        <v>31</v>
      </c>
      <c r="D3" t="s">
        <v>32</v>
      </c>
      <c r="E3" t="s">
        <v>33</v>
      </c>
      <c r="F3" t="s">
        <v>34</v>
      </c>
      <c r="G3" t="s">
        <v>26</v>
      </c>
      <c r="H3" t="s">
        <v>35</v>
      </c>
      <c r="I3" t="s">
        <v>35</v>
      </c>
      <c r="J3" t="s">
        <v>27</v>
      </c>
      <c r="K3" t="s">
        <v>36</v>
      </c>
      <c r="L3" s="4">
        <v>236</v>
      </c>
      <c r="M3" s="5">
        <v>420</v>
      </c>
      <c r="N3" s="5">
        <v>99120</v>
      </c>
      <c r="O3" s="4">
        <v>258</v>
      </c>
      <c r="P3" s="4">
        <v>75</v>
      </c>
      <c r="Q3" s="4">
        <v>12</v>
      </c>
      <c r="R3" s="3">
        <v>46221</v>
      </c>
      <c r="S3" s="3">
        <v>46221</v>
      </c>
      <c r="T3" t="s">
        <v>37</v>
      </c>
      <c r="U3" s="13">
        <f>VSCN_Clean[[#This Row],[Delivery Date]]-VSCN_Clean[[#This Row],[Promised Date]]</f>
        <v>0</v>
      </c>
      <c r="V3" s="13">
        <f>--(VSCN_Clean[[#This Row],[Delivery Date]]&lt;=VSCN_Clean[[#This Row],[Promised Date]])</f>
        <v>1</v>
      </c>
      <c r="W3" s="13">
        <f>--(VSCN_Clean[[#This Row],[Delivery Date]]&gt;VSCN_Clean[[#This Row],[Promised Date]])</f>
        <v>0</v>
      </c>
      <c r="X3" t="str">
        <f>IF(VSCN_Clean[[#This Row],[Current Stock]]&lt;=0,"Stock-out",IF(VSCN_Clean[[#This Row],[Current Stock]]&lt;VSCN_Clean[[#This Row],[Reorder Level]],"Low Stock","Healthy"))</f>
        <v>Healthy</v>
      </c>
      <c r="Y3" s="13">
        <f>--(VSCN_Clean[[#This Row],[Current Stock]]&lt;=0)</f>
        <v>0</v>
      </c>
      <c r="Z3" s="13">
        <f>--(AND(VSCN_Clean[[#This Row],[Current Stock]]&gt;0,VSCN_Clean[[#This Row],[Current Stock]]&lt;VSCN_Clean[[#This Row],[Reorder Level]]))</f>
        <v>0</v>
      </c>
      <c r="AA3" s="13">
        <f>--(VSCN_Clean[[#This Row],[Current Stock]]&gt;=VSCN_Clean[[#This Row],[Reorder Level]])</f>
        <v>1</v>
      </c>
      <c r="AB3" s="12">
        <f>IFERROR(COUNTIFS(VSCN_Clean[Supplier],VSCN_Clean[[#This Row],[Supplier]],VSCN_Clean[On-Time Flag],1)/COUNTIF(VSCN_Clean[Supplier],VSCN_Clean[[#This Row],[Supplier]]),0)</f>
        <v>0.25</v>
      </c>
      <c r="AC3" s="13">
        <f>VSCN_Clean[[#This Row],[Delivery Date]]-VSCN_Clean[[#This Row],[Order Date]]</f>
        <v>12</v>
      </c>
      <c r="AD3" s="13">
        <f>VSCN_Clean[[#This Row],[Current Stock]]-VSCN_Clean[[#This Row],[Reorder Level]]</f>
        <v>183</v>
      </c>
    </row>
    <row r="4" spans="1:30" x14ac:dyDescent="0.35">
      <c r="A4" t="s">
        <v>38</v>
      </c>
      <c r="B4" s="3">
        <v>46239</v>
      </c>
      <c r="C4" t="s">
        <v>39</v>
      </c>
      <c r="D4" t="s">
        <v>40</v>
      </c>
      <c r="E4" t="s">
        <v>41</v>
      </c>
      <c r="F4" t="s">
        <v>42</v>
      </c>
      <c r="G4" t="s">
        <v>43</v>
      </c>
      <c r="H4" t="s">
        <v>44</v>
      </c>
      <c r="I4" t="s">
        <v>44</v>
      </c>
      <c r="J4" t="s">
        <v>45</v>
      </c>
      <c r="K4" t="s">
        <v>28</v>
      </c>
      <c r="L4" s="4">
        <v>386</v>
      </c>
      <c r="M4" s="5">
        <v>4.5</v>
      </c>
      <c r="N4" s="5">
        <v>1737</v>
      </c>
      <c r="O4" s="4">
        <v>142</v>
      </c>
      <c r="P4" s="4">
        <v>150</v>
      </c>
      <c r="Q4" s="4">
        <v>15</v>
      </c>
      <c r="R4" s="3">
        <v>46254</v>
      </c>
      <c r="S4" s="3">
        <v>46259</v>
      </c>
      <c r="T4" t="s">
        <v>29</v>
      </c>
      <c r="U4" s="13">
        <f>VSCN_Clean[[#This Row],[Delivery Date]]-VSCN_Clean[[#This Row],[Promised Date]]</f>
        <v>5</v>
      </c>
      <c r="V4" s="13">
        <f>--(VSCN_Clean[[#This Row],[Delivery Date]]&lt;=VSCN_Clean[[#This Row],[Promised Date]])</f>
        <v>0</v>
      </c>
      <c r="W4" s="13">
        <f>--(VSCN_Clean[[#This Row],[Delivery Date]]&gt;VSCN_Clean[[#This Row],[Promised Date]])</f>
        <v>1</v>
      </c>
      <c r="X4" t="str">
        <f>IF(VSCN_Clean[[#This Row],[Current Stock]]&lt;=0,"Stock-out",IF(VSCN_Clean[[#This Row],[Current Stock]]&lt;VSCN_Clean[[#This Row],[Reorder Level]],"Low Stock","Healthy"))</f>
        <v>Low Stock</v>
      </c>
      <c r="Y4" s="13">
        <f>--(VSCN_Clean[[#This Row],[Current Stock]]&lt;=0)</f>
        <v>0</v>
      </c>
      <c r="Z4" s="13">
        <f>--(AND(VSCN_Clean[[#This Row],[Current Stock]]&gt;0,VSCN_Clean[[#This Row],[Current Stock]]&lt;VSCN_Clean[[#This Row],[Reorder Level]]))</f>
        <v>1</v>
      </c>
      <c r="AA4" s="13">
        <f>--(VSCN_Clean[[#This Row],[Current Stock]]&gt;=VSCN_Clean[[#This Row],[Reorder Level]])</f>
        <v>0</v>
      </c>
      <c r="AB4" s="12">
        <f>IFERROR(COUNTIFS(VSCN_Clean[Supplier],VSCN_Clean[[#This Row],[Supplier]],VSCN_Clean[On-Time Flag],1)/COUNTIF(VSCN_Clean[Supplier],VSCN_Clean[[#This Row],[Supplier]]),0)</f>
        <v>0</v>
      </c>
      <c r="AC4" s="13">
        <f>VSCN_Clean[[#This Row],[Delivery Date]]-VSCN_Clean[[#This Row],[Order Date]]</f>
        <v>20</v>
      </c>
      <c r="AD4" s="13">
        <f>VSCN_Clean[[#This Row],[Current Stock]]-VSCN_Clean[[#This Row],[Reorder Level]]</f>
        <v>-8</v>
      </c>
    </row>
    <row r="5" spans="1:30" x14ac:dyDescent="0.35">
      <c r="A5" t="s">
        <v>46</v>
      </c>
      <c r="B5" s="3">
        <v>46204</v>
      </c>
      <c r="C5" t="s">
        <v>47</v>
      </c>
      <c r="D5" t="s">
        <v>48</v>
      </c>
      <c r="E5" t="s">
        <v>49</v>
      </c>
      <c r="F5" t="s">
        <v>50</v>
      </c>
      <c r="G5" t="s">
        <v>51</v>
      </c>
      <c r="H5" t="s">
        <v>25</v>
      </c>
      <c r="I5" t="s">
        <v>25</v>
      </c>
      <c r="J5" t="s">
        <v>27</v>
      </c>
      <c r="K5" t="s">
        <v>52</v>
      </c>
      <c r="L5" s="4">
        <v>377</v>
      </c>
      <c r="M5" s="5">
        <v>12</v>
      </c>
      <c r="N5" s="5">
        <v>4524</v>
      </c>
      <c r="O5" s="4">
        <v>390</v>
      </c>
      <c r="P5" s="4">
        <v>75</v>
      </c>
      <c r="Q5" s="4">
        <v>8</v>
      </c>
      <c r="R5" s="3">
        <v>46212</v>
      </c>
      <c r="S5" s="3">
        <v>46212</v>
      </c>
      <c r="T5" t="s">
        <v>37</v>
      </c>
      <c r="U5" s="13">
        <f>VSCN_Clean[[#This Row],[Delivery Date]]-VSCN_Clean[[#This Row],[Promised Date]]</f>
        <v>0</v>
      </c>
      <c r="V5" s="13">
        <f>--(VSCN_Clean[[#This Row],[Delivery Date]]&lt;=VSCN_Clean[[#This Row],[Promised Date]])</f>
        <v>1</v>
      </c>
      <c r="W5" s="13">
        <f>--(VSCN_Clean[[#This Row],[Delivery Date]]&gt;VSCN_Clean[[#This Row],[Promised Date]])</f>
        <v>0</v>
      </c>
      <c r="X5" t="str">
        <f>IF(VSCN_Clean[[#This Row],[Current Stock]]&lt;=0,"Stock-out",IF(VSCN_Clean[[#This Row],[Current Stock]]&lt;VSCN_Clean[[#This Row],[Reorder Level]],"Low Stock","Healthy"))</f>
        <v>Healthy</v>
      </c>
      <c r="Y5" s="13">
        <f>--(VSCN_Clean[[#This Row],[Current Stock]]&lt;=0)</f>
        <v>0</v>
      </c>
      <c r="Z5" s="13">
        <f>--(AND(VSCN_Clean[[#This Row],[Current Stock]]&gt;0,VSCN_Clean[[#This Row],[Current Stock]]&lt;VSCN_Clean[[#This Row],[Reorder Level]]))</f>
        <v>0</v>
      </c>
      <c r="AA5" s="13">
        <f>--(VSCN_Clean[[#This Row],[Current Stock]]&gt;=VSCN_Clean[[#This Row],[Reorder Level]])</f>
        <v>1</v>
      </c>
      <c r="AB5" s="12">
        <f>IFERROR(COUNTIFS(VSCN_Clean[Supplier],VSCN_Clean[[#This Row],[Supplier]],VSCN_Clean[On-Time Flag],1)/COUNTIF(VSCN_Clean[Supplier],VSCN_Clean[[#This Row],[Supplier]]),0)</f>
        <v>0.33333333333333331</v>
      </c>
      <c r="AC5" s="13">
        <f>VSCN_Clean[[#This Row],[Delivery Date]]-VSCN_Clean[[#This Row],[Order Date]]</f>
        <v>8</v>
      </c>
      <c r="AD5" s="13">
        <f>VSCN_Clean[[#This Row],[Current Stock]]-VSCN_Clean[[#This Row],[Reorder Level]]</f>
        <v>315</v>
      </c>
    </row>
    <row r="6" spans="1:30" x14ac:dyDescent="0.35">
      <c r="A6" t="s">
        <v>53</v>
      </c>
      <c r="B6" s="3">
        <v>46209</v>
      </c>
      <c r="C6" t="s">
        <v>54</v>
      </c>
      <c r="D6" t="s">
        <v>55</v>
      </c>
      <c r="E6" t="s">
        <v>56</v>
      </c>
      <c r="F6" t="s">
        <v>57</v>
      </c>
      <c r="G6" t="s">
        <v>51</v>
      </c>
      <c r="H6" t="s">
        <v>25</v>
      </c>
      <c r="I6" t="s">
        <v>25</v>
      </c>
      <c r="J6" t="s">
        <v>58</v>
      </c>
      <c r="K6" t="s">
        <v>52</v>
      </c>
      <c r="L6" s="4">
        <v>69</v>
      </c>
      <c r="M6" s="5">
        <v>320</v>
      </c>
      <c r="N6" s="5">
        <v>22080</v>
      </c>
      <c r="O6" s="4">
        <v>274</v>
      </c>
      <c r="P6" s="4">
        <v>125</v>
      </c>
      <c r="Q6" s="4">
        <v>4</v>
      </c>
      <c r="R6" s="3">
        <v>46213</v>
      </c>
      <c r="S6" s="3">
        <v>46214</v>
      </c>
      <c r="T6" t="s">
        <v>29</v>
      </c>
      <c r="U6" s="13">
        <f>VSCN_Clean[[#This Row],[Delivery Date]]-VSCN_Clean[[#This Row],[Promised Date]]</f>
        <v>1</v>
      </c>
      <c r="V6" s="13">
        <f>--(VSCN_Clean[[#This Row],[Delivery Date]]&lt;=VSCN_Clean[[#This Row],[Promised Date]])</f>
        <v>0</v>
      </c>
      <c r="W6" s="13">
        <f>--(VSCN_Clean[[#This Row],[Delivery Date]]&gt;VSCN_Clean[[#This Row],[Promised Date]])</f>
        <v>1</v>
      </c>
      <c r="X6" t="str">
        <f>IF(VSCN_Clean[[#This Row],[Current Stock]]&lt;=0,"Stock-out",IF(VSCN_Clean[[#This Row],[Current Stock]]&lt;VSCN_Clean[[#This Row],[Reorder Level]],"Low Stock","Healthy"))</f>
        <v>Healthy</v>
      </c>
      <c r="Y6" s="13">
        <f>--(VSCN_Clean[[#This Row],[Current Stock]]&lt;=0)</f>
        <v>0</v>
      </c>
      <c r="Z6" s="13">
        <f>--(AND(VSCN_Clean[[#This Row],[Current Stock]]&gt;0,VSCN_Clean[[#This Row],[Current Stock]]&lt;VSCN_Clean[[#This Row],[Reorder Level]]))</f>
        <v>0</v>
      </c>
      <c r="AA6" s="13">
        <f>--(VSCN_Clean[[#This Row],[Current Stock]]&gt;=VSCN_Clean[[#This Row],[Reorder Level]])</f>
        <v>1</v>
      </c>
      <c r="AB6" s="12">
        <f>IFERROR(COUNTIFS(VSCN_Clean[Supplier],VSCN_Clean[[#This Row],[Supplier]],VSCN_Clean[On-Time Flag],1)/COUNTIF(VSCN_Clean[Supplier],VSCN_Clean[[#This Row],[Supplier]]),0)</f>
        <v>0.75</v>
      </c>
      <c r="AC6" s="13">
        <f>VSCN_Clean[[#This Row],[Delivery Date]]-VSCN_Clean[[#This Row],[Order Date]]</f>
        <v>5</v>
      </c>
      <c r="AD6" s="13">
        <f>VSCN_Clean[[#This Row],[Current Stock]]-VSCN_Clean[[#This Row],[Reorder Level]]</f>
        <v>149</v>
      </c>
    </row>
    <row r="7" spans="1:30" x14ac:dyDescent="0.35">
      <c r="A7" t="s">
        <v>59</v>
      </c>
      <c r="B7" s="3">
        <v>46209</v>
      </c>
      <c r="C7" t="s">
        <v>60</v>
      </c>
      <c r="D7" t="s">
        <v>61</v>
      </c>
      <c r="E7" t="s">
        <v>49</v>
      </c>
      <c r="F7" t="s">
        <v>62</v>
      </c>
      <c r="G7" t="s">
        <v>51</v>
      </c>
      <c r="H7" t="s">
        <v>25</v>
      </c>
      <c r="I7" t="s">
        <v>25</v>
      </c>
      <c r="J7" t="s">
        <v>63</v>
      </c>
      <c r="K7" t="s">
        <v>28</v>
      </c>
      <c r="L7" s="4">
        <v>170</v>
      </c>
      <c r="M7" s="5">
        <v>18</v>
      </c>
      <c r="N7" s="5">
        <v>3060</v>
      </c>
      <c r="O7" s="4">
        <v>23</v>
      </c>
      <c r="P7" s="4">
        <v>50</v>
      </c>
      <c r="Q7" s="4">
        <v>13</v>
      </c>
      <c r="R7" s="3">
        <v>46222</v>
      </c>
      <c r="S7" s="3">
        <v>46222</v>
      </c>
      <c r="T7" t="s">
        <v>37</v>
      </c>
      <c r="U7" s="13">
        <f>VSCN_Clean[[#This Row],[Delivery Date]]-VSCN_Clean[[#This Row],[Promised Date]]</f>
        <v>0</v>
      </c>
      <c r="V7" s="13">
        <f>--(VSCN_Clean[[#This Row],[Delivery Date]]&lt;=VSCN_Clean[[#This Row],[Promised Date]])</f>
        <v>1</v>
      </c>
      <c r="W7" s="13">
        <f>--(VSCN_Clean[[#This Row],[Delivery Date]]&gt;VSCN_Clean[[#This Row],[Promised Date]])</f>
        <v>0</v>
      </c>
      <c r="X7" t="str">
        <f>IF(VSCN_Clean[[#This Row],[Current Stock]]&lt;=0,"Stock-out",IF(VSCN_Clean[[#This Row],[Current Stock]]&lt;VSCN_Clean[[#This Row],[Reorder Level]],"Low Stock","Healthy"))</f>
        <v>Low Stock</v>
      </c>
      <c r="Y7" s="13">
        <f>--(VSCN_Clean[[#This Row],[Current Stock]]&lt;=0)</f>
        <v>0</v>
      </c>
      <c r="Z7" s="13">
        <f>--(AND(VSCN_Clean[[#This Row],[Current Stock]]&gt;0,VSCN_Clean[[#This Row],[Current Stock]]&lt;VSCN_Clean[[#This Row],[Reorder Level]]))</f>
        <v>1</v>
      </c>
      <c r="AA7" s="13">
        <f>--(VSCN_Clean[[#This Row],[Current Stock]]&gt;=VSCN_Clean[[#This Row],[Reorder Level]])</f>
        <v>0</v>
      </c>
      <c r="AB7" s="12">
        <f>IFERROR(COUNTIFS(VSCN_Clean[Supplier],VSCN_Clean[[#This Row],[Supplier]],VSCN_Clean[On-Time Flag],1)/COUNTIF(VSCN_Clean[Supplier],VSCN_Clean[[#This Row],[Supplier]]),0)</f>
        <v>1</v>
      </c>
      <c r="AC7" s="13">
        <f>VSCN_Clean[[#This Row],[Delivery Date]]-VSCN_Clean[[#This Row],[Order Date]]</f>
        <v>13</v>
      </c>
      <c r="AD7" s="13">
        <f>VSCN_Clean[[#This Row],[Current Stock]]-VSCN_Clean[[#This Row],[Reorder Level]]</f>
        <v>-27</v>
      </c>
    </row>
    <row r="8" spans="1:30" x14ac:dyDescent="0.35">
      <c r="A8" t="s">
        <v>64</v>
      </c>
      <c r="B8" s="3">
        <v>46222</v>
      </c>
      <c r="C8" t="s">
        <v>65</v>
      </c>
      <c r="D8" t="s">
        <v>22</v>
      </c>
      <c r="E8" t="s">
        <v>23</v>
      </c>
      <c r="F8" t="s">
        <v>66</v>
      </c>
      <c r="G8" t="s">
        <v>67</v>
      </c>
      <c r="H8" t="s">
        <v>26</v>
      </c>
      <c r="I8" t="s">
        <v>26</v>
      </c>
      <c r="J8" t="s">
        <v>68</v>
      </c>
      <c r="K8" t="s">
        <v>69</v>
      </c>
      <c r="L8" s="4">
        <v>457</v>
      </c>
      <c r="M8" s="5">
        <v>180</v>
      </c>
      <c r="N8" s="5">
        <v>82260</v>
      </c>
      <c r="O8" s="4">
        <v>325</v>
      </c>
      <c r="P8" s="4">
        <v>125</v>
      </c>
      <c r="Q8" s="4">
        <v>8</v>
      </c>
      <c r="R8" s="3">
        <v>46230</v>
      </c>
      <c r="S8" s="3">
        <v>46230</v>
      </c>
      <c r="T8" t="s">
        <v>37</v>
      </c>
      <c r="U8" s="13">
        <f>VSCN_Clean[[#This Row],[Delivery Date]]-VSCN_Clean[[#This Row],[Promised Date]]</f>
        <v>0</v>
      </c>
      <c r="V8" s="13">
        <f>--(VSCN_Clean[[#This Row],[Delivery Date]]&lt;=VSCN_Clean[[#This Row],[Promised Date]])</f>
        <v>1</v>
      </c>
      <c r="W8" s="13">
        <f>--(VSCN_Clean[[#This Row],[Delivery Date]]&gt;VSCN_Clean[[#This Row],[Promised Date]])</f>
        <v>0</v>
      </c>
      <c r="X8" t="str">
        <f>IF(VSCN_Clean[[#This Row],[Current Stock]]&lt;=0,"Stock-out",IF(VSCN_Clean[[#This Row],[Current Stock]]&lt;VSCN_Clean[[#This Row],[Reorder Level]],"Low Stock","Healthy"))</f>
        <v>Healthy</v>
      </c>
      <c r="Y8" s="13">
        <f>--(VSCN_Clean[[#This Row],[Current Stock]]&lt;=0)</f>
        <v>0</v>
      </c>
      <c r="Z8" s="13">
        <f>--(AND(VSCN_Clean[[#This Row],[Current Stock]]&gt;0,VSCN_Clean[[#This Row],[Current Stock]]&lt;VSCN_Clean[[#This Row],[Reorder Level]]))</f>
        <v>0</v>
      </c>
      <c r="AA8" s="13">
        <f>--(VSCN_Clean[[#This Row],[Current Stock]]&gt;=VSCN_Clean[[#This Row],[Reorder Level]])</f>
        <v>1</v>
      </c>
      <c r="AB8" s="12">
        <f>IFERROR(COUNTIFS(VSCN_Clean[Supplier],VSCN_Clean[[#This Row],[Supplier]],VSCN_Clean[On-Time Flag],1)/COUNTIF(VSCN_Clean[Supplier],VSCN_Clean[[#This Row],[Supplier]]),0)</f>
        <v>1</v>
      </c>
      <c r="AC8" s="13">
        <f>VSCN_Clean[[#This Row],[Delivery Date]]-VSCN_Clean[[#This Row],[Order Date]]</f>
        <v>8</v>
      </c>
      <c r="AD8" s="13">
        <f>VSCN_Clean[[#This Row],[Current Stock]]-VSCN_Clean[[#This Row],[Reorder Level]]</f>
        <v>200</v>
      </c>
    </row>
    <row r="9" spans="1:30" x14ac:dyDescent="0.35">
      <c r="A9" t="s">
        <v>70</v>
      </c>
      <c r="B9" s="3">
        <v>46227</v>
      </c>
      <c r="C9" t="s">
        <v>71</v>
      </c>
      <c r="D9" t="s">
        <v>72</v>
      </c>
      <c r="E9" t="s">
        <v>73</v>
      </c>
      <c r="F9" t="s">
        <v>24</v>
      </c>
      <c r="G9" t="s">
        <v>67</v>
      </c>
      <c r="H9" t="s">
        <v>26</v>
      </c>
      <c r="I9" t="s">
        <v>26</v>
      </c>
      <c r="J9" t="s">
        <v>74</v>
      </c>
      <c r="K9" t="s">
        <v>28</v>
      </c>
      <c r="L9" s="4">
        <v>127</v>
      </c>
      <c r="M9" s="5">
        <v>0.8</v>
      </c>
      <c r="N9" s="5">
        <v>101.6</v>
      </c>
      <c r="O9" s="4">
        <v>83</v>
      </c>
      <c r="P9" s="4">
        <v>75</v>
      </c>
      <c r="Q9" s="4">
        <v>10</v>
      </c>
      <c r="R9" s="3">
        <v>46237</v>
      </c>
      <c r="S9" s="3">
        <v>46238</v>
      </c>
      <c r="T9" t="s">
        <v>29</v>
      </c>
      <c r="U9" s="13">
        <f>VSCN_Clean[[#This Row],[Delivery Date]]-VSCN_Clean[[#This Row],[Promised Date]]</f>
        <v>1</v>
      </c>
      <c r="V9" s="13">
        <f>--(VSCN_Clean[[#This Row],[Delivery Date]]&lt;=VSCN_Clean[[#This Row],[Promised Date]])</f>
        <v>0</v>
      </c>
      <c r="W9" s="13">
        <f>--(VSCN_Clean[[#This Row],[Delivery Date]]&gt;VSCN_Clean[[#This Row],[Promised Date]])</f>
        <v>1</v>
      </c>
      <c r="X9" t="str">
        <f>IF(VSCN_Clean[[#This Row],[Current Stock]]&lt;=0,"Stock-out",IF(VSCN_Clean[[#This Row],[Current Stock]]&lt;VSCN_Clean[[#This Row],[Reorder Level]],"Low Stock","Healthy"))</f>
        <v>Healthy</v>
      </c>
      <c r="Y9" s="13">
        <f>--(VSCN_Clean[[#This Row],[Current Stock]]&lt;=0)</f>
        <v>0</v>
      </c>
      <c r="Z9" s="13">
        <f>--(AND(VSCN_Clean[[#This Row],[Current Stock]]&gt;0,VSCN_Clean[[#This Row],[Current Stock]]&lt;VSCN_Clean[[#This Row],[Reorder Level]]))</f>
        <v>0</v>
      </c>
      <c r="AA9" s="13">
        <f>--(VSCN_Clean[[#This Row],[Current Stock]]&gt;=VSCN_Clean[[#This Row],[Reorder Level]])</f>
        <v>1</v>
      </c>
      <c r="AB9" s="12">
        <f>IFERROR(COUNTIFS(VSCN_Clean[Supplier],VSCN_Clean[[#This Row],[Supplier]],VSCN_Clean[On-Time Flag],1)/COUNTIF(VSCN_Clean[Supplier],VSCN_Clean[[#This Row],[Supplier]]),0)</f>
        <v>0.6</v>
      </c>
      <c r="AC9" s="13">
        <f>VSCN_Clean[[#This Row],[Delivery Date]]-VSCN_Clean[[#This Row],[Order Date]]</f>
        <v>11</v>
      </c>
      <c r="AD9" s="13">
        <f>VSCN_Clean[[#This Row],[Current Stock]]-VSCN_Clean[[#This Row],[Reorder Level]]</f>
        <v>8</v>
      </c>
    </row>
    <row r="10" spans="1:30" x14ac:dyDescent="0.35">
      <c r="A10" t="s">
        <v>75</v>
      </c>
      <c r="B10" s="3">
        <v>46221</v>
      </c>
      <c r="C10" t="s">
        <v>76</v>
      </c>
      <c r="D10" t="s">
        <v>61</v>
      </c>
      <c r="E10" t="s">
        <v>49</v>
      </c>
      <c r="F10" t="s">
        <v>57</v>
      </c>
      <c r="G10" t="s">
        <v>26</v>
      </c>
      <c r="H10" t="s">
        <v>35</v>
      </c>
      <c r="I10" t="s">
        <v>35</v>
      </c>
      <c r="J10" t="s">
        <v>58</v>
      </c>
      <c r="K10" t="s">
        <v>28</v>
      </c>
      <c r="L10" s="4">
        <v>132</v>
      </c>
      <c r="M10" s="5">
        <v>18</v>
      </c>
      <c r="N10" s="5">
        <v>2376</v>
      </c>
      <c r="O10" s="4">
        <v>205</v>
      </c>
      <c r="P10" s="4">
        <v>100</v>
      </c>
      <c r="Q10" s="4">
        <v>7</v>
      </c>
      <c r="R10" s="3">
        <v>46228</v>
      </c>
      <c r="S10" s="3">
        <v>46228</v>
      </c>
      <c r="T10" t="s">
        <v>37</v>
      </c>
      <c r="U10" s="13">
        <f>VSCN_Clean[[#This Row],[Delivery Date]]-VSCN_Clean[[#This Row],[Promised Date]]</f>
        <v>0</v>
      </c>
      <c r="V10" s="13">
        <f>--(VSCN_Clean[[#This Row],[Delivery Date]]&lt;=VSCN_Clean[[#This Row],[Promised Date]])</f>
        <v>1</v>
      </c>
      <c r="W10" s="13">
        <f>--(VSCN_Clean[[#This Row],[Delivery Date]]&gt;VSCN_Clean[[#This Row],[Promised Date]])</f>
        <v>0</v>
      </c>
      <c r="X10" t="str">
        <f>IF(VSCN_Clean[[#This Row],[Current Stock]]&lt;=0,"Stock-out",IF(VSCN_Clean[[#This Row],[Current Stock]]&lt;VSCN_Clean[[#This Row],[Reorder Level]],"Low Stock","Healthy"))</f>
        <v>Healthy</v>
      </c>
      <c r="Y10" s="13">
        <f>--(VSCN_Clean[[#This Row],[Current Stock]]&lt;=0)</f>
        <v>0</v>
      </c>
      <c r="Z10" s="13">
        <f>--(AND(VSCN_Clean[[#This Row],[Current Stock]]&gt;0,VSCN_Clean[[#This Row],[Current Stock]]&lt;VSCN_Clean[[#This Row],[Reorder Level]]))</f>
        <v>0</v>
      </c>
      <c r="AA10" s="13">
        <f>--(VSCN_Clean[[#This Row],[Current Stock]]&gt;=VSCN_Clean[[#This Row],[Reorder Level]])</f>
        <v>1</v>
      </c>
      <c r="AB10" s="12">
        <f>IFERROR(COUNTIFS(VSCN_Clean[Supplier],VSCN_Clean[[#This Row],[Supplier]],VSCN_Clean[On-Time Flag],1)/COUNTIF(VSCN_Clean[Supplier],VSCN_Clean[[#This Row],[Supplier]]),0)</f>
        <v>0.75</v>
      </c>
      <c r="AC10" s="13">
        <f>VSCN_Clean[[#This Row],[Delivery Date]]-VSCN_Clean[[#This Row],[Order Date]]</f>
        <v>7</v>
      </c>
      <c r="AD10" s="13">
        <f>VSCN_Clean[[#This Row],[Current Stock]]-VSCN_Clean[[#This Row],[Reorder Level]]</f>
        <v>105</v>
      </c>
    </row>
    <row r="11" spans="1:30" x14ac:dyDescent="0.35">
      <c r="A11" t="s">
        <v>77</v>
      </c>
      <c r="B11" s="3">
        <v>46217</v>
      </c>
      <c r="C11" t="s">
        <v>78</v>
      </c>
      <c r="D11" t="s">
        <v>32</v>
      </c>
      <c r="E11" t="s">
        <v>33</v>
      </c>
      <c r="F11" t="s">
        <v>57</v>
      </c>
      <c r="G11" t="s">
        <v>25</v>
      </c>
      <c r="H11" t="s">
        <v>26</v>
      </c>
      <c r="I11" t="s">
        <v>26</v>
      </c>
      <c r="J11" t="s">
        <v>45</v>
      </c>
      <c r="K11" t="s">
        <v>69</v>
      </c>
      <c r="L11" s="4">
        <v>468</v>
      </c>
      <c r="M11" s="5">
        <v>420</v>
      </c>
      <c r="N11" s="5">
        <v>196560</v>
      </c>
      <c r="O11" s="4">
        <v>73</v>
      </c>
      <c r="P11" s="4">
        <v>125</v>
      </c>
      <c r="Q11" s="4">
        <v>7</v>
      </c>
      <c r="R11" s="3">
        <v>46224</v>
      </c>
      <c r="S11" s="3">
        <v>46224</v>
      </c>
      <c r="T11" t="s">
        <v>37</v>
      </c>
      <c r="U11" s="13">
        <f>VSCN_Clean[[#This Row],[Delivery Date]]-VSCN_Clean[[#This Row],[Promised Date]]</f>
        <v>0</v>
      </c>
      <c r="V11" s="13">
        <f>--(VSCN_Clean[[#This Row],[Delivery Date]]&lt;=VSCN_Clean[[#This Row],[Promised Date]])</f>
        <v>1</v>
      </c>
      <c r="W11" s="13">
        <f>--(VSCN_Clean[[#This Row],[Delivery Date]]&gt;VSCN_Clean[[#This Row],[Promised Date]])</f>
        <v>0</v>
      </c>
      <c r="X11" t="str">
        <f>IF(VSCN_Clean[[#This Row],[Current Stock]]&lt;=0,"Stock-out",IF(VSCN_Clean[[#This Row],[Current Stock]]&lt;VSCN_Clean[[#This Row],[Reorder Level]],"Low Stock","Healthy"))</f>
        <v>Low Stock</v>
      </c>
      <c r="Y11" s="13">
        <f>--(VSCN_Clean[[#This Row],[Current Stock]]&lt;=0)</f>
        <v>0</v>
      </c>
      <c r="Z11" s="13">
        <f>--(AND(VSCN_Clean[[#This Row],[Current Stock]]&gt;0,VSCN_Clean[[#This Row],[Current Stock]]&lt;VSCN_Clean[[#This Row],[Reorder Level]]))</f>
        <v>1</v>
      </c>
      <c r="AA11" s="13">
        <f>--(VSCN_Clean[[#This Row],[Current Stock]]&gt;=VSCN_Clean[[#This Row],[Reorder Level]])</f>
        <v>0</v>
      </c>
      <c r="AB11" s="12">
        <f>IFERROR(COUNTIFS(VSCN_Clean[Supplier],VSCN_Clean[[#This Row],[Supplier]],VSCN_Clean[On-Time Flag],1)/COUNTIF(VSCN_Clean[Supplier],VSCN_Clean[[#This Row],[Supplier]]),0)</f>
        <v>0.75</v>
      </c>
      <c r="AC11" s="13">
        <f>VSCN_Clean[[#This Row],[Delivery Date]]-VSCN_Clean[[#This Row],[Order Date]]</f>
        <v>7</v>
      </c>
      <c r="AD11" s="13">
        <f>VSCN_Clean[[#This Row],[Current Stock]]-VSCN_Clean[[#This Row],[Reorder Level]]</f>
        <v>-52</v>
      </c>
    </row>
    <row r="12" spans="1:30" x14ac:dyDescent="0.35">
      <c r="A12" t="s">
        <v>79</v>
      </c>
      <c r="B12" s="3">
        <v>46219</v>
      </c>
      <c r="C12" t="s">
        <v>80</v>
      </c>
      <c r="D12" t="s">
        <v>61</v>
      </c>
      <c r="E12" t="s">
        <v>49</v>
      </c>
      <c r="F12" t="s">
        <v>24</v>
      </c>
      <c r="G12" t="s">
        <v>67</v>
      </c>
      <c r="H12" t="s">
        <v>35</v>
      </c>
      <c r="I12" t="s">
        <v>35</v>
      </c>
      <c r="J12" t="s">
        <v>74</v>
      </c>
      <c r="K12" t="s">
        <v>69</v>
      </c>
      <c r="L12" s="4">
        <v>295</v>
      </c>
      <c r="M12" s="5">
        <v>18</v>
      </c>
      <c r="N12" s="5">
        <v>5310</v>
      </c>
      <c r="O12" s="4">
        <v>185</v>
      </c>
      <c r="P12" s="4">
        <v>125</v>
      </c>
      <c r="Q12" s="4">
        <v>6</v>
      </c>
      <c r="R12" s="3">
        <v>46225</v>
      </c>
      <c r="S12" s="3">
        <v>46225</v>
      </c>
      <c r="T12" t="s">
        <v>37</v>
      </c>
      <c r="U12" s="13">
        <f>VSCN_Clean[[#This Row],[Delivery Date]]-VSCN_Clean[[#This Row],[Promised Date]]</f>
        <v>0</v>
      </c>
      <c r="V12" s="13">
        <f>--(VSCN_Clean[[#This Row],[Delivery Date]]&lt;=VSCN_Clean[[#This Row],[Promised Date]])</f>
        <v>1</v>
      </c>
      <c r="W12" s="13">
        <f>--(VSCN_Clean[[#This Row],[Delivery Date]]&gt;VSCN_Clean[[#This Row],[Promised Date]])</f>
        <v>0</v>
      </c>
      <c r="X12" t="str">
        <f>IF(VSCN_Clean[[#This Row],[Current Stock]]&lt;=0,"Stock-out",IF(VSCN_Clean[[#This Row],[Current Stock]]&lt;VSCN_Clean[[#This Row],[Reorder Level]],"Low Stock","Healthy"))</f>
        <v>Healthy</v>
      </c>
      <c r="Y12" s="13">
        <f>--(VSCN_Clean[[#This Row],[Current Stock]]&lt;=0)</f>
        <v>0</v>
      </c>
      <c r="Z12" s="13">
        <f>--(AND(VSCN_Clean[[#This Row],[Current Stock]]&gt;0,VSCN_Clean[[#This Row],[Current Stock]]&lt;VSCN_Clean[[#This Row],[Reorder Level]]))</f>
        <v>0</v>
      </c>
      <c r="AA12" s="13">
        <f>--(VSCN_Clean[[#This Row],[Current Stock]]&gt;=VSCN_Clean[[#This Row],[Reorder Level]])</f>
        <v>1</v>
      </c>
      <c r="AB12" s="12">
        <f>IFERROR(COUNTIFS(VSCN_Clean[Supplier],VSCN_Clean[[#This Row],[Supplier]],VSCN_Clean[On-Time Flag],1)/COUNTIF(VSCN_Clean[Supplier],VSCN_Clean[[#This Row],[Supplier]]),0)</f>
        <v>0.6</v>
      </c>
      <c r="AC12" s="13">
        <f>VSCN_Clean[[#This Row],[Delivery Date]]-VSCN_Clean[[#This Row],[Order Date]]</f>
        <v>6</v>
      </c>
      <c r="AD12" s="13">
        <f>VSCN_Clean[[#This Row],[Current Stock]]-VSCN_Clean[[#This Row],[Reorder Level]]</f>
        <v>60</v>
      </c>
    </row>
    <row r="13" spans="1:30" x14ac:dyDescent="0.35">
      <c r="A13" t="s">
        <v>81</v>
      </c>
      <c r="B13" s="3">
        <v>46236</v>
      </c>
      <c r="C13" t="s">
        <v>82</v>
      </c>
      <c r="D13" t="s">
        <v>83</v>
      </c>
      <c r="E13" t="s">
        <v>41</v>
      </c>
      <c r="F13" t="s">
        <v>34</v>
      </c>
      <c r="G13" t="s">
        <v>67</v>
      </c>
      <c r="H13" t="s">
        <v>26</v>
      </c>
      <c r="I13" t="s">
        <v>26</v>
      </c>
      <c r="J13" t="s">
        <v>63</v>
      </c>
      <c r="K13" t="s">
        <v>28</v>
      </c>
      <c r="L13" s="4">
        <v>66</v>
      </c>
      <c r="M13" s="5">
        <v>15</v>
      </c>
      <c r="N13" s="5">
        <v>990</v>
      </c>
      <c r="O13" s="4">
        <v>348</v>
      </c>
      <c r="P13" s="4">
        <v>75</v>
      </c>
      <c r="Q13" s="4">
        <v>9</v>
      </c>
      <c r="R13" s="3">
        <v>46245</v>
      </c>
      <c r="S13" s="3">
        <v>46247</v>
      </c>
      <c r="T13" t="s">
        <v>29</v>
      </c>
      <c r="U13" s="13">
        <f>VSCN_Clean[[#This Row],[Delivery Date]]-VSCN_Clean[[#This Row],[Promised Date]]</f>
        <v>2</v>
      </c>
      <c r="V13" s="13">
        <f>--(VSCN_Clean[[#This Row],[Delivery Date]]&lt;=VSCN_Clean[[#This Row],[Promised Date]])</f>
        <v>0</v>
      </c>
      <c r="W13" s="13">
        <f>--(VSCN_Clean[[#This Row],[Delivery Date]]&gt;VSCN_Clean[[#This Row],[Promised Date]])</f>
        <v>1</v>
      </c>
      <c r="X13" t="str">
        <f>IF(VSCN_Clean[[#This Row],[Current Stock]]&lt;=0,"Stock-out",IF(VSCN_Clean[[#This Row],[Current Stock]]&lt;VSCN_Clean[[#This Row],[Reorder Level]],"Low Stock","Healthy"))</f>
        <v>Healthy</v>
      </c>
      <c r="Y13" s="13">
        <f>--(VSCN_Clean[[#This Row],[Current Stock]]&lt;=0)</f>
        <v>0</v>
      </c>
      <c r="Z13" s="13">
        <f>--(AND(VSCN_Clean[[#This Row],[Current Stock]]&gt;0,VSCN_Clean[[#This Row],[Current Stock]]&lt;VSCN_Clean[[#This Row],[Reorder Level]]))</f>
        <v>0</v>
      </c>
      <c r="AA13" s="13">
        <f>--(VSCN_Clean[[#This Row],[Current Stock]]&gt;=VSCN_Clean[[#This Row],[Reorder Level]])</f>
        <v>1</v>
      </c>
      <c r="AB13" s="12">
        <f>IFERROR(COUNTIFS(VSCN_Clean[Supplier],VSCN_Clean[[#This Row],[Supplier]],VSCN_Clean[On-Time Flag],1)/COUNTIF(VSCN_Clean[Supplier],VSCN_Clean[[#This Row],[Supplier]]),0)</f>
        <v>0.25</v>
      </c>
      <c r="AC13" s="13">
        <f>VSCN_Clean[[#This Row],[Delivery Date]]-VSCN_Clean[[#This Row],[Order Date]]</f>
        <v>11</v>
      </c>
      <c r="AD13" s="13">
        <f>VSCN_Clean[[#This Row],[Current Stock]]-VSCN_Clean[[#This Row],[Reorder Level]]</f>
        <v>273</v>
      </c>
    </row>
    <row r="14" spans="1:30" x14ac:dyDescent="0.35">
      <c r="A14" t="s">
        <v>84</v>
      </c>
      <c r="B14" s="3">
        <v>46208</v>
      </c>
      <c r="C14" t="s">
        <v>85</v>
      </c>
      <c r="D14" t="s">
        <v>55</v>
      </c>
      <c r="E14" t="s">
        <v>56</v>
      </c>
      <c r="F14" t="s">
        <v>62</v>
      </c>
      <c r="G14" t="s">
        <v>26</v>
      </c>
      <c r="H14" t="s">
        <v>86</v>
      </c>
      <c r="I14" t="s">
        <v>86</v>
      </c>
      <c r="J14" t="s">
        <v>74</v>
      </c>
      <c r="K14" t="s">
        <v>52</v>
      </c>
      <c r="L14" s="4">
        <v>215</v>
      </c>
      <c r="M14" s="5">
        <v>320</v>
      </c>
      <c r="N14" s="5">
        <v>68800</v>
      </c>
      <c r="O14" s="4">
        <v>348</v>
      </c>
      <c r="P14" s="4">
        <v>50</v>
      </c>
      <c r="Q14" s="4">
        <v>14</v>
      </c>
      <c r="R14" s="3">
        <v>46222</v>
      </c>
      <c r="S14" s="3">
        <v>46222</v>
      </c>
      <c r="T14" t="s">
        <v>37</v>
      </c>
      <c r="U14" s="13">
        <f>VSCN_Clean[[#This Row],[Delivery Date]]-VSCN_Clean[[#This Row],[Promised Date]]</f>
        <v>0</v>
      </c>
      <c r="V14" s="13">
        <f>--(VSCN_Clean[[#This Row],[Delivery Date]]&lt;=VSCN_Clean[[#This Row],[Promised Date]])</f>
        <v>1</v>
      </c>
      <c r="W14" s="13">
        <f>--(VSCN_Clean[[#This Row],[Delivery Date]]&gt;VSCN_Clean[[#This Row],[Promised Date]])</f>
        <v>0</v>
      </c>
      <c r="X14" t="str">
        <f>IF(VSCN_Clean[[#This Row],[Current Stock]]&lt;=0,"Stock-out",IF(VSCN_Clean[[#This Row],[Current Stock]]&lt;VSCN_Clean[[#This Row],[Reorder Level]],"Low Stock","Healthy"))</f>
        <v>Healthy</v>
      </c>
      <c r="Y14" s="13">
        <f>--(VSCN_Clean[[#This Row],[Current Stock]]&lt;=0)</f>
        <v>0</v>
      </c>
      <c r="Z14" s="13">
        <f>--(AND(VSCN_Clean[[#This Row],[Current Stock]]&gt;0,VSCN_Clean[[#This Row],[Current Stock]]&lt;VSCN_Clean[[#This Row],[Reorder Level]]))</f>
        <v>0</v>
      </c>
      <c r="AA14" s="13">
        <f>--(VSCN_Clean[[#This Row],[Current Stock]]&gt;=VSCN_Clean[[#This Row],[Reorder Level]])</f>
        <v>1</v>
      </c>
      <c r="AB14" s="12">
        <f>IFERROR(COUNTIFS(VSCN_Clean[Supplier],VSCN_Clean[[#This Row],[Supplier]],VSCN_Clean[On-Time Flag],1)/COUNTIF(VSCN_Clean[Supplier],VSCN_Clean[[#This Row],[Supplier]]),0)</f>
        <v>1</v>
      </c>
      <c r="AC14" s="13">
        <f>VSCN_Clean[[#This Row],[Delivery Date]]-VSCN_Clean[[#This Row],[Order Date]]</f>
        <v>14</v>
      </c>
      <c r="AD14" s="13">
        <f>VSCN_Clean[[#This Row],[Current Stock]]-VSCN_Clean[[#This Row],[Reorder Level]]</f>
        <v>298</v>
      </c>
    </row>
    <row r="15" spans="1:30" x14ac:dyDescent="0.35">
      <c r="A15" t="s">
        <v>87</v>
      </c>
      <c r="B15" s="3">
        <v>46247</v>
      </c>
      <c r="C15" t="s">
        <v>88</v>
      </c>
      <c r="D15" t="s">
        <v>61</v>
      </c>
      <c r="E15" t="s">
        <v>49</v>
      </c>
      <c r="F15" t="s">
        <v>24</v>
      </c>
      <c r="G15" t="s">
        <v>51</v>
      </c>
      <c r="H15" t="s">
        <v>25</v>
      </c>
      <c r="I15" t="s">
        <v>25</v>
      </c>
      <c r="J15" t="s">
        <v>68</v>
      </c>
      <c r="K15" t="s">
        <v>36</v>
      </c>
      <c r="L15" s="4">
        <v>404</v>
      </c>
      <c r="M15" s="5">
        <v>18</v>
      </c>
      <c r="N15" s="5">
        <v>7272</v>
      </c>
      <c r="O15" s="4">
        <v>80</v>
      </c>
      <c r="P15" s="4">
        <v>125</v>
      </c>
      <c r="Q15" s="4">
        <v>10</v>
      </c>
      <c r="R15" s="3">
        <v>46257</v>
      </c>
      <c r="S15" s="3">
        <v>46257</v>
      </c>
      <c r="T15" t="s">
        <v>37</v>
      </c>
      <c r="U15" s="13">
        <f>VSCN_Clean[[#This Row],[Delivery Date]]-VSCN_Clean[[#This Row],[Promised Date]]</f>
        <v>0</v>
      </c>
      <c r="V15" s="13">
        <f>--(VSCN_Clean[[#This Row],[Delivery Date]]&lt;=VSCN_Clean[[#This Row],[Promised Date]])</f>
        <v>1</v>
      </c>
      <c r="W15" s="13">
        <f>--(VSCN_Clean[[#This Row],[Delivery Date]]&gt;VSCN_Clean[[#This Row],[Promised Date]])</f>
        <v>0</v>
      </c>
      <c r="X15" t="str">
        <f>IF(VSCN_Clean[[#This Row],[Current Stock]]&lt;=0,"Stock-out",IF(VSCN_Clean[[#This Row],[Current Stock]]&lt;VSCN_Clean[[#This Row],[Reorder Level]],"Low Stock","Healthy"))</f>
        <v>Low Stock</v>
      </c>
      <c r="Y15" s="13">
        <f>--(VSCN_Clean[[#This Row],[Current Stock]]&lt;=0)</f>
        <v>0</v>
      </c>
      <c r="Z15" s="13">
        <f>--(AND(VSCN_Clean[[#This Row],[Current Stock]]&gt;0,VSCN_Clean[[#This Row],[Current Stock]]&lt;VSCN_Clean[[#This Row],[Reorder Level]]))</f>
        <v>1</v>
      </c>
      <c r="AA15" s="13">
        <f>--(VSCN_Clean[[#This Row],[Current Stock]]&gt;=VSCN_Clean[[#This Row],[Reorder Level]])</f>
        <v>0</v>
      </c>
      <c r="AB15" s="12">
        <f>IFERROR(COUNTIFS(VSCN_Clean[Supplier],VSCN_Clean[[#This Row],[Supplier]],VSCN_Clean[On-Time Flag],1)/COUNTIF(VSCN_Clean[Supplier],VSCN_Clean[[#This Row],[Supplier]]),0)</f>
        <v>0.6</v>
      </c>
      <c r="AC15" s="13">
        <f>VSCN_Clean[[#This Row],[Delivery Date]]-VSCN_Clean[[#This Row],[Order Date]]</f>
        <v>10</v>
      </c>
      <c r="AD15" s="13">
        <f>VSCN_Clean[[#This Row],[Current Stock]]-VSCN_Clean[[#This Row],[Reorder Level]]</f>
        <v>-45</v>
      </c>
    </row>
    <row r="16" spans="1:30" x14ac:dyDescent="0.35">
      <c r="A16" t="s">
        <v>89</v>
      </c>
      <c r="B16" s="3">
        <v>46220</v>
      </c>
      <c r="C16" t="s">
        <v>90</v>
      </c>
      <c r="D16" t="s">
        <v>61</v>
      </c>
      <c r="E16" t="s">
        <v>49</v>
      </c>
      <c r="F16" t="s">
        <v>91</v>
      </c>
      <c r="G16" t="s">
        <v>92</v>
      </c>
      <c r="H16" t="s">
        <v>26</v>
      </c>
      <c r="I16" t="s">
        <v>26</v>
      </c>
      <c r="J16" t="s">
        <v>63</v>
      </c>
      <c r="K16" t="s">
        <v>36</v>
      </c>
      <c r="L16" s="4">
        <v>410</v>
      </c>
      <c r="M16" s="5">
        <v>18</v>
      </c>
      <c r="N16" s="5">
        <v>7380</v>
      </c>
      <c r="O16" s="4">
        <v>327</v>
      </c>
      <c r="P16" s="4">
        <v>100</v>
      </c>
      <c r="Q16" s="4">
        <v>11</v>
      </c>
      <c r="R16" s="3">
        <v>46231</v>
      </c>
      <c r="S16" s="3">
        <v>46233</v>
      </c>
      <c r="T16" t="s">
        <v>29</v>
      </c>
      <c r="U16" s="13">
        <f>VSCN_Clean[[#This Row],[Delivery Date]]-VSCN_Clean[[#This Row],[Promised Date]]</f>
        <v>2</v>
      </c>
      <c r="V16" s="13">
        <f>--(VSCN_Clean[[#This Row],[Delivery Date]]&lt;=VSCN_Clean[[#This Row],[Promised Date]])</f>
        <v>0</v>
      </c>
      <c r="W16" s="13">
        <f>--(VSCN_Clean[[#This Row],[Delivery Date]]&gt;VSCN_Clean[[#This Row],[Promised Date]])</f>
        <v>1</v>
      </c>
      <c r="X16" t="str">
        <f>IF(VSCN_Clean[[#This Row],[Current Stock]]&lt;=0,"Stock-out",IF(VSCN_Clean[[#This Row],[Current Stock]]&lt;VSCN_Clean[[#This Row],[Reorder Level]],"Low Stock","Healthy"))</f>
        <v>Healthy</v>
      </c>
      <c r="Y16" s="13">
        <f>--(VSCN_Clean[[#This Row],[Current Stock]]&lt;=0)</f>
        <v>0</v>
      </c>
      <c r="Z16" s="13">
        <f>--(AND(VSCN_Clean[[#This Row],[Current Stock]]&gt;0,VSCN_Clean[[#This Row],[Current Stock]]&lt;VSCN_Clean[[#This Row],[Reorder Level]]))</f>
        <v>0</v>
      </c>
      <c r="AA16" s="13">
        <f>--(VSCN_Clean[[#This Row],[Current Stock]]&gt;=VSCN_Clean[[#This Row],[Reorder Level]])</f>
        <v>1</v>
      </c>
      <c r="AB16" s="12">
        <f>IFERROR(COUNTIFS(VSCN_Clean[Supplier],VSCN_Clean[[#This Row],[Supplier]],VSCN_Clean[On-Time Flag],1)/COUNTIF(VSCN_Clean[Supplier],VSCN_Clean[[#This Row],[Supplier]]),0)</f>
        <v>0.66666666666666663</v>
      </c>
      <c r="AC16" s="13">
        <f>VSCN_Clean[[#This Row],[Delivery Date]]-VSCN_Clean[[#This Row],[Order Date]]</f>
        <v>13</v>
      </c>
      <c r="AD16" s="13">
        <f>VSCN_Clean[[#This Row],[Current Stock]]-VSCN_Clean[[#This Row],[Reorder Level]]</f>
        <v>227</v>
      </c>
    </row>
    <row r="17" spans="1:30" x14ac:dyDescent="0.35">
      <c r="A17" t="s">
        <v>93</v>
      </c>
      <c r="B17" s="3">
        <v>46216</v>
      </c>
      <c r="C17" t="s">
        <v>94</v>
      </c>
      <c r="D17" t="s">
        <v>48</v>
      </c>
      <c r="E17" t="s">
        <v>49</v>
      </c>
      <c r="F17" t="s">
        <v>91</v>
      </c>
      <c r="G17" t="s">
        <v>92</v>
      </c>
      <c r="H17" t="s">
        <v>26</v>
      </c>
      <c r="I17" t="s">
        <v>26</v>
      </c>
      <c r="J17" t="s">
        <v>74</v>
      </c>
      <c r="K17" t="s">
        <v>36</v>
      </c>
      <c r="L17" s="4">
        <v>211</v>
      </c>
      <c r="M17" s="5">
        <v>12</v>
      </c>
      <c r="N17" s="5">
        <v>2532</v>
      </c>
      <c r="O17" s="4">
        <v>250</v>
      </c>
      <c r="P17" s="4">
        <v>100</v>
      </c>
      <c r="Q17" s="4">
        <v>3</v>
      </c>
      <c r="R17" s="3">
        <v>46219</v>
      </c>
      <c r="S17" s="3">
        <v>46219</v>
      </c>
      <c r="T17" t="s">
        <v>37</v>
      </c>
      <c r="U17" s="13">
        <f>VSCN_Clean[[#This Row],[Delivery Date]]-VSCN_Clean[[#This Row],[Promised Date]]</f>
        <v>0</v>
      </c>
      <c r="V17" s="13">
        <f>--(VSCN_Clean[[#This Row],[Delivery Date]]&lt;=VSCN_Clean[[#This Row],[Promised Date]])</f>
        <v>1</v>
      </c>
      <c r="W17" s="13">
        <f>--(VSCN_Clean[[#This Row],[Delivery Date]]&gt;VSCN_Clean[[#This Row],[Promised Date]])</f>
        <v>0</v>
      </c>
      <c r="X17" t="str">
        <f>IF(VSCN_Clean[[#This Row],[Current Stock]]&lt;=0,"Stock-out",IF(VSCN_Clean[[#This Row],[Current Stock]]&lt;VSCN_Clean[[#This Row],[Reorder Level]],"Low Stock","Healthy"))</f>
        <v>Healthy</v>
      </c>
      <c r="Y17" s="13">
        <f>--(VSCN_Clean[[#This Row],[Current Stock]]&lt;=0)</f>
        <v>0</v>
      </c>
      <c r="Z17" s="13">
        <f>--(AND(VSCN_Clean[[#This Row],[Current Stock]]&gt;0,VSCN_Clean[[#This Row],[Current Stock]]&lt;VSCN_Clean[[#This Row],[Reorder Level]]))</f>
        <v>0</v>
      </c>
      <c r="AA17" s="13">
        <f>--(VSCN_Clean[[#This Row],[Current Stock]]&gt;=VSCN_Clean[[#This Row],[Reorder Level]])</f>
        <v>1</v>
      </c>
      <c r="AB17" s="12">
        <f>IFERROR(COUNTIFS(VSCN_Clean[Supplier],VSCN_Clean[[#This Row],[Supplier]],VSCN_Clean[On-Time Flag],1)/COUNTIF(VSCN_Clean[Supplier],VSCN_Clean[[#This Row],[Supplier]]),0)</f>
        <v>0.66666666666666663</v>
      </c>
      <c r="AC17" s="13">
        <f>VSCN_Clean[[#This Row],[Delivery Date]]-VSCN_Clean[[#This Row],[Order Date]]</f>
        <v>3</v>
      </c>
      <c r="AD17" s="13">
        <f>VSCN_Clean[[#This Row],[Current Stock]]-VSCN_Clean[[#This Row],[Reorder Level]]</f>
        <v>150</v>
      </c>
    </row>
    <row r="18" spans="1:30" x14ac:dyDescent="0.35">
      <c r="A18" t="s">
        <v>95</v>
      </c>
      <c r="B18" s="3">
        <v>46227</v>
      </c>
      <c r="C18" t="s">
        <v>96</v>
      </c>
      <c r="D18" t="s">
        <v>97</v>
      </c>
      <c r="E18" t="s">
        <v>23</v>
      </c>
      <c r="F18" t="s">
        <v>34</v>
      </c>
      <c r="G18" t="s">
        <v>25</v>
      </c>
      <c r="H18" t="s">
        <v>26</v>
      </c>
      <c r="I18" t="s">
        <v>26</v>
      </c>
      <c r="J18" t="s">
        <v>58</v>
      </c>
      <c r="K18" t="s">
        <v>36</v>
      </c>
      <c r="L18" s="4">
        <v>142</v>
      </c>
      <c r="M18" s="5">
        <v>28</v>
      </c>
      <c r="N18" s="5">
        <v>3976</v>
      </c>
      <c r="O18" s="4">
        <v>35</v>
      </c>
      <c r="P18" s="4">
        <v>125</v>
      </c>
      <c r="Q18" s="4">
        <v>15</v>
      </c>
      <c r="R18" s="3">
        <v>46242</v>
      </c>
      <c r="S18" s="3">
        <v>46244</v>
      </c>
      <c r="T18" t="s">
        <v>29</v>
      </c>
      <c r="U18" s="13">
        <f>VSCN_Clean[[#This Row],[Delivery Date]]-VSCN_Clean[[#This Row],[Promised Date]]</f>
        <v>2</v>
      </c>
      <c r="V18" s="13">
        <f>--(VSCN_Clean[[#This Row],[Delivery Date]]&lt;=VSCN_Clean[[#This Row],[Promised Date]])</f>
        <v>0</v>
      </c>
      <c r="W18" s="13">
        <f>--(VSCN_Clean[[#This Row],[Delivery Date]]&gt;VSCN_Clean[[#This Row],[Promised Date]])</f>
        <v>1</v>
      </c>
      <c r="X18" t="str">
        <f>IF(VSCN_Clean[[#This Row],[Current Stock]]&lt;=0,"Stock-out",IF(VSCN_Clean[[#This Row],[Current Stock]]&lt;VSCN_Clean[[#This Row],[Reorder Level]],"Low Stock","Healthy"))</f>
        <v>Low Stock</v>
      </c>
      <c r="Y18" s="13">
        <f>--(VSCN_Clean[[#This Row],[Current Stock]]&lt;=0)</f>
        <v>0</v>
      </c>
      <c r="Z18" s="13">
        <f>--(AND(VSCN_Clean[[#This Row],[Current Stock]]&gt;0,VSCN_Clean[[#This Row],[Current Stock]]&lt;VSCN_Clean[[#This Row],[Reorder Level]]))</f>
        <v>1</v>
      </c>
      <c r="AA18" s="13">
        <f>--(VSCN_Clean[[#This Row],[Current Stock]]&gt;=VSCN_Clean[[#This Row],[Reorder Level]])</f>
        <v>0</v>
      </c>
      <c r="AB18" s="12">
        <f>IFERROR(COUNTIFS(VSCN_Clean[Supplier],VSCN_Clean[[#This Row],[Supplier]],VSCN_Clean[On-Time Flag],1)/COUNTIF(VSCN_Clean[Supplier],VSCN_Clean[[#This Row],[Supplier]]),0)</f>
        <v>0.25</v>
      </c>
      <c r="AC18" s="13">
        <f>VSCN_Clean[[#This Row],[Delivery Date]]-VSCN_Clean[[#This Row],[Order Date]]</f>
        <v>17</v>
      </c>
      <c r="AD18" s="13">
        <f>VSCN_Clean[[#This Row],[Current Stock]]-VSCN_Clean[[#This Row],[Reorder Level]]</f>
        <v>-90</v>
      </c>
    </row>
    <row r="19" spans="1:30" x14ac:dyDescent="0.35">
      <c r="A19" t="s">
        <v>98</v>
      </c>
      <c r="B19" s="3">
        <v>46212</v>
      </c>
      <c r="C19" t="s">
        <v>99</v>
      </c>
      <c r="D19" t="s">
        <v>48</v>
      </c>
      <c r="E19" t="s">
        <v>49</v>
      </c>
      <c r="F19" t="s">
        <v>100</v>
      </c>
      <c r="G19" t="s">
        <v>92</v>
      </c>
      <c r="H19" t="s">
        <v>26</v>
      </c>
      <c r="I19" t="s">
        <v>26</v>
      </c>
      <c r="J19" t="s">
        <v>68</v>
      </c>
      <c r="K19" t="s">
        <v>28</v>
      </c>
      <c r="L19" s="4">
        <v>357</v>
      </c>
      <c r="M19" s="5">
        <v>12</v>
      </c>
      <c r="N19" s="5">
        <v>4284</v>
      </c>
      <c r="O19" s="4">
        <v>310</v>
      </c>
      <c r="P19" s="4">
        <v>150</v>
      </c>
      <c r="Q19" s="4">
        <v>9</v>
      </c>
      <c r="R19" s="3">
        <v>46221</v>
      </c>
      <c r="S19" s="3">
        <v>46221</v>
      </c>
      <c r="T19" t="s">
        <v>37</v>
      </c>
      <c r="U19" s="13">
        <f>VSCN_Clean[[#This Row],[Delivery Date]]-VSCN_Clean[[#This Row],[Promised Date]]</f>
        <v>0</v>
      </c>
      <c r="V19" s="13">
        <f>--(VSCN_Clean[[#This Row],[Delivery Date]]&lt;=VSCN_Clean[[#This Row],[Promised Date]])</f>
        <v>1</v>
      </c>
      <c r="W19" s="13">
        <f>--(VSCN_Clean[[#This Row],[Delivery Date]]&gt;VSCN_Clean[[#This Row],[Promised Date]])</f>
        <v>0</v>
      </c>
      <c r="X19" t="str">
        <f>IF(VSCN_Clean[[#This Row],[Current Stock]]&lt;=0,"Stock-out",IF(VSCN_Clean[[#This Row],[Current Stock]]&lt;VSCN_Clean[[#This Row],[Reorder Level]],"Low Stock","Healthy"))</f>
        <v>Healthy</v>
      </c>
      <c r="Y19" s="13">
        <f>--(VSCN_Clean[[#This Row],[Current Stock]]&lt;=0)</f>
        <v>0</v>
      </c>
      <c r="Z19" s="13">
        <f>--(AND(VSCN_Clean[[#This Row],[Current Stock]]&gt;0,VSCN_Clean[[#This Row],[Current Stock]]&lt;VSCN_Clean[[#This Row],[Reorder Level]]))</f>
        <v>0</v>
      </c>
      <c r="AA19" s="13">
        <f>--(VSCN_Clean[[#This Row],[Current Stock]]&gt;=VSCN_Clean[[#This Row],[Reorder Level]])</f>
        <v>1</v>
      </c>
      <c r="AB19" s="12">
        <f>IFERROR(COUNTIFS(VSCN_Clean[Supplier],VSCN_Clean[[#This Row],[Supplier]],VSCN_Clean[On-Time Flag],1)/COUNTIF(VSCN_Clean[Supplier],VSCN_Clean[[#This Row],[Supplier]]),0)</f>
        <v>0.5</v>
      </c>
      <c r="AC19" s="13">
        <f>VSCN_Clean[[#This Row],[Delivery Date]]-VSCN_Clean[[#This Row],[Order Date]]</f>
        <v>9</v>
      </c>
      <c r="AD19" s="13">
        <f>VSCN_Clean[[#This Row],[Current Stock]]-VSCN_Clean[[#This Row],[Reorder Level]]</f>
        <v>160</v>
      </c>
    </row>
    <row r="20" spans="1:30" x14ac:dyDescent="0.35">
      <c r="A20" t="s">
        <v>101</v>
      </c>
      <c r="B20" s="3">
        <v>46238</v>
      </c>
      <c r="C20" t="s">
        <v>102</v>
      </c>
      <c r="D20" t="s">
        <v>40</v>
      </c>
      <c r="E20" t="s">
        <v>41</v>
      </c>
      <c r="F20" t="s">
        <v>24</v>
      </c>
      <c r="G20" t="s">
        <v>43</v>
      </c>
      <c r="H20" t="s">
        <v>44</v>
      </c>
      <c r="I20" t="s">
        <v>44</v>
      </c>
      <c r="J20" t="s">
        <v>45</v>
      </c>
      <c r="K20" t="s">
        <v>52</v>
      </c>
      <c r="L20" s="4">
        <v>385</v>
      </c>
      <c r="M20" s="5">
        <v>4.5</v>
      </c>
      <c r="N20" s="5">
        <v>1732.5</v>
      </c>
      <c r="O20" s="4">
        <v>231</v>
      </c>
      <c r="P20" s="4">
        <v>150</v>
      </c>
      <c r="Q20" s="4">
        <v>4</v>
      </c>
      <c r="R20" s="3">
        <v>46242</v>
      </c>
      <c r="S20" s="3">
        <v>46242</v>
      </c>
      <c r="T20" t="s">
        <v>37</v>
      </c>
      <c r="U20" s="13">
        <f>VSCN_Clean[[#This Row],[Delivery Date]]-VSCN_Clean[[#This Row],[Promised Date]]</f>
        <v>0</v>
      </c>
      <c r="V20" s="13">
        <f>--(VSCN_Clean[[#This Row],[Delivery Date]]&lt;=VSCN_Clean[[#This Row],[Promised Date]])</f>
        <v>1</v>
      </c>
      <c r="W20" s="13">
        <f>--(VSCN_Clean[[#This Row],[Delivery Date]]&gt;VSCN_Clean[[#This Row],[Promised Date]])</f>
        <v>0</v>
      </c>
      <c r="X20" t="str">
        <f>IF(VSCN_Clean[[#This Row],[Current Stock]]&lt;=0,"Stock-out",IF(VSCN_Clean[[#This Row],[Current Stock]]&lt;VSCN_Clean[[#This Row],[Reorder Level]],"Low Stock","Healthy"))</f>
        <v>Healthy</v>
      </c>
      <c r="Y20" s="13">
        <f>--(VSCN_Clean[[#This Row],[Current Stock]]&lt;=0)</f>
        <v>0</v>
      </c>
      <c r="Z20" s="13">
        <f>--(AND(VSCN_Clean[[#This Row],[Current Stock]]&gt;0,VSCN_Clean[[#This Row],[Current Stock]]&lt;VSCN_Clean[[#This Row],[Reorder Level]]))</f>
        <v>0</v>
      </c>
      <c r="AA20" s="13">
        <f>--(VSCN_Clean[[#This Row],[Current Stock]]&gt;=VSCN_Clean[[#This Row],[Reorder Level]])</f>
        <v>1</v>
      </c>
      <c r="AB20" s="12">
        <f>IFERROR(COUNTIFS(VSCN_Clean[Supplier],VSCN_Clean[[#This Row],[Supplier]],VSCN_Clean[On-Time Flag],1)/COUNTIF(VSCN_Clean[Supplier],VSCN_Clean[[#This Row],[Supplier]]),0)</f>
        <v>0.6</v>
      </c>
      <c r="AC20" s="13">
        <f>VSCN_Clean[[#This Row],[Delivery Date]]-VSCN_Clean[[#This Row],[Order Date]]</f>
        <v>4</v>
      </c>
      <c r="AD20" s="13">
        <f>VSCN_Clean[[#This Row],[Current Stock]]-VSCN_Clean[[#This Row],[Reorder Level]]</f>
        <v>81</v>
      </c>
    </row>
    <row r="21" spans="1:30" x14ac:dyDescent="0.35">
      <c r="A21" t="s">
        <v>103</v>
      </c>
      <c r="B21" s="3">
        <v>46218</v>
      </c>
      <c r="C21" t="s">
        <v>104</v>
      </c>
      <c r="D21" t="s">
        <v>22</v>
      </c>
      <c r="E21" t="s">
        <v>23</v>
      </c>
      <c r="F21" t="s">
        <v>34</v>
      </c>
      <c r="G21" t="s">
        <v>67</v>
      </c>
      <c r="H21" t="s">
        <v>35</v>
      </c>
      <c r="I21" t="s">
        <v>35</v>
      </c>
      <c r="J21" t="s">
        <v>74</v>
      </c>
      <c r="K21" t="s">
        <v>28</v>
      </c>
      <c r="L21" s="4">
        <v>193</v>
      </c>
      <c r="M21" s="5">
        <v>180</v>
      </c>
      <c r="N21" s="5">
        <v>34740</v>
      </c>
      <c r="O21" s="4">
        <v>3</v>
      </c>
      <c r="P21" s="4">
        <v>75</v>
      </c>
      <c r="Q21" s="4">
        <v>4</v>
      </c>
      <c r="R21" s="3">
        <v>46222</v>
      </c>
      <c r="S21" s="3">
        <v>46225</v>
      </c>
      <c r="T21" t="s">
        <v>29</v>
      </c>
      <c r="U21" s="13">
        <f>VSCN_Clean[[#This Row],[Delivery Date]]-VSCN_Clean[[#This Row],[Promised Date]]</f>
        <v>3</v>
      </c>
      <c r="V21" s="13">
        <f>--(VSCN_Clean[[#This Row],[Delivery Date]]&lt;=VSCN_Clean[[#This Row],[Promised Date]])</f>
        <v>0</v>
      </c>
      <c r="W21" s="13">
        <f>--(VSCN_Clean[[#This Row],[Delivery Date]]&gt;VSCN_Clean[[#This Row],[Promised Date]])</f>
        <v>1</v>
      </c>
      <c r="X21" t="str">
        <f>IF(VSCN_Clean[[#This Row],[Current Stock]]&lt;=0,"Stock-out",IF(VSCN_Clean[[#This Row],[Current Stock]]&lt;VSCN_Clean[[#This Row],[Reorder Level]],"Low Stock","Healthy"))</f>
        <v>Low Stock</v>
      </c>
      <c r="Y21" s="13">
        <f>--(VSCN_Clean[[#This Row],[Current Stock]]&lt;=0)</f>
        <v>0</v>
      </c>
      <c r="Z21" s="13">
        <f>--(AND(VSCN_Clean[[#This Row],[Current Stock]]&gt;0,VSCN_Clean[[#This Row],[Current Stock]]&lt;VSCN_Clean[[#This Row],[Reorder Level]]))</f>
        <v>1</v>
      </c>
      <c r="AA21" s="13">
        <f>--(VSCN_Clean[[#This Row],[Current Stock]]&gt;=VSCN_Clean[[#This Row],[Reorder Level]])</f>
        <v>0</v>
      </c>
      <c r="AB21" s="12">
        <f>IFERROR(COUNTIFS(VSCN_Clean[Supplier],VSCN_Clean[[#This Row],[Supplier]],VSCN_Clean[On-Time Flag],1)/COUNTIF(VSCN_Clean[Supplier],VSCN_Clean[[#This Row],[Supplier]]),0)</f>
        <v>0.25</v>
      </c>
      <c r="AC21" s="13">
        <f>VSCN_Clean[[#This Row],[Delivery Date]]-VSCN_Clean[[#This Row],[Order Date]]</f>
        <v>7</v>
      </c>
      <c r="AD21" s="13">
        <f>VSCN_Clean[[#This Row],[Current Stock]]-VSCN_Clean[[#This Row],[Reorder Level]]</f>
        <v>-72</v>
      </c>
    </row>
    <row r="22" spans="1:30" x14ac:dyDescent="0.35">
      <c r="A22" t="s">
        <v>105</v>
      </c>
      <c r="B22" s="3">
        <v>46244</v>
      </c>
      <c r="C22" t="s">
        <v>106</v>
      </c>
      <c r="D22" t="s">
        <v>107</v>
      </c>
      <c r="E22" t="s">
        <v>56</v>
      </c>
      <c r="F22" t="s">
        <v>108</v>
      </c>
      <c r="G22" t="s">
        <v>26</v>
      </c>
      <c r="H22" t="s">
        <v>35</v>
      </c>
      <c r="I22" t="s">
        <v>35</v>
      </c>
      <c r="J22" t="s">
        <v>58</v>
      </c>
      <c r="K22" t="s">
        <v>52</v>
      </c>
      <c r="L22" s="4">
        <v>137</v>
      </c>
      <c r="M22" s="5">
        <v>650</v>
      </c>
      <c r="N22" s="5">
        <v>89050</v>
      </c>
      <c r="O22" s="4">
        <v>121</v>
      </c>
      <c r="P22" s="4">
        <v>150</v>
      </c>
      <c r="Q22" s="4">
        <v>7</v>
      </c>
      <c r="R22" s="3">
        <v>46251</v>
      </c>
      <c r="S22" s="3">
        <v>46254</v>
      </c>
      <c r="T22" t="s">
        <v>29</v>
      </c>
      <c r="U22" s="13">
        <f>VSCN_Clean[[#This Row],[Delivery Date]]-VSCN_Clean[[#This Row],[Promised Date]]</f>
        <v>3</v>
      </c>
      <c r="V22" s="13">
        <f>--(VSCN_Clean[[#This Row],[Delivery Date]]&lt;=VSCN_Clean[[#This Row],[Promised Date]])</f>
        <v>0</v>
      </c>
      <c r="W22" s="13">
        <f>--(VSCN_Clean[[#This Row],[Delivery Date]]&gt;VSCN_Clean[[#This Row],[Promised Date]])</f>
        <v>1</v>
      </c>
      <c r="X22" t="str">
        <f>IF(VSCN_Clean[[#This Row],[Current Stock]]&lt;=0,"Stock-out",IF(VSCN_Clean[[#This Row],[Current Stock]]&lt;VSCN_Clean[[#This Row],[Reorder Level]],"Low Stock","Healthy"))</f>
        <v>Low Stock</v>
      </c>
      <c r="Y22" s="13">
        <f>--(VSCN_Clean[[#This Row],[Current Stock]]&lt;=0)</f>
        <v>0</v>
      </c>
      <c r="Z22" s="13">
        <f>--(AND(VSCN_Clean[[#This Row],[Current Stock]]&gt;0,VSCN_Clean[[#This Row],[Current Stock]]&lt;VSCN_Clean[[#This Row],[Reorder Level]]))</f>
        <v>1</v>
      </c>
      <c r="AA22" s="13">
        <f>--(VSCN_Clean[[#This Row],[Current Stock]]&gt;=VSCN_Clean[[#This Row],[Reorder Level]])</f>
        <v>0</v>
      </c>
      <c r="AB22" s="12">
        <f>IFERROR(COUNTIFS(VSCN_Clean[Supplier],VSCN_Clean[[#This Row],[Supplier]],VSCN_Clean[On-Time Flag],1)/COUNTIF(VSCN_Clean[Supplier],VSCN_Clean[[#This Row],[Supplier]]),0)</f>
        <v>0</v>
      </c>
      <c r="AC22" s="13">
        <f>VSCN_Clean[[#This Row],[Delivery Date]]-VSCN_Clean[[#This Row],[Order Date]]</f>
        <v>10</v>
      </c>
      <c r="AD22" s="13">
        <f>VSCN_Clean[[#This Row],[Current Stock]]-VSCN_Clean[[#This Row],[Reorder Level]]</f>
        <v>-29</v>
      </c>
    </row>
    <row r="23" spans="1:30" x14ac:dyDescent="0.35">
      <c r="A23" t="s">
        <v>109</v>
      </c>
      <c r="B23" s="3">
        <v>46235</v>
      </c>
      <c r="C23" t="s">
        <v>110</v>
      </c>
      <c r="D23" t="s">
        <v>40</v>
      </c>
      <c r="E23" t="s">
        <v>41</v>
      </c>
      <c r="F23" t="s">
        <v>91</v>
      </c>
      <c r="G23" t="s">
        <v>67</v>
      </c>
      <c r="H23" t="s">
        <v>35</v>
      </c>
      <c r="I23" t="s">
        <v>35</v>
      </c>
      <c r="J23" t="s">
        <v>27</v>
      </c>
      <c r="K23" t="s">
        <v>69</v>
      </c>
      <c r="L23" s="4">
        <v>296</v>
      </c>
      <c r="M23" s="5">
        <v>4.5</v>
      </c>
      <c r="N23" s="5">
        <v>1332</v>
      </c>
      <c r="O23" s="4">
        <v>208</v>
      </c>
      <c r="P23" s="4">
        <v>125</v>
      </c>
      <c r="Q23" s="4">
        <v>6</v>
      </c>
      <c r="R23" s="3">
        <v>46241</v>
      </c>
      <c r="S23" s="3">
        <v>46241</v>
      </c>
      <c r="T23" t="s">
        <v>37</v>
      </c>
      <c r="U23" s="13">
        <f>VSCN_Clean[[#This Row],[Delivery Date]]-VSCN_Clean[[#This Row],[Promised Date]]</f>
        <v>0</v>
      </c>
      <c r="V23" s="13">
        <f>--(VSCN_Clean[[#This Row],[Delivery Date]]&lt;=VSCN_Clean[[#This Row],[Promised Date]])</f>
        <v>1</v>
      </c>
      <c r="W23" s="13">
        <f>--(VSCN_Clean[[#This Row],[Delivery Date]]&gt;VSCN_Clean[[#This Row],[Promised Date]])</f>
        <v>0</v>
      </c>
      <c r="X23" t="str">
        <f>IF(VSCN_Clean[[#This Row],[Current Stock]]&lt;=0,"Stock-out",IF(VSCN_Clean[[#This Row],[Current Stock]]&lt;VSCN_Clean[[#This Row],[Reorder Level]],"Low Stock","Healthy"))</f>
        <v>Healthy</v>
      </c>
      <c r="Y23" s="13">
        <f>--(VSCN_Clean[[#This Row],[Current Stock]]&lt;=0)</f>
        <v>0</v>
      </c>
      <c r="Z23" s="13">
        <f>--(AND(VSCN_Clean[[#This Row],[Current Stock]]&gt;0,VSCN_Clean[[#This Row],[Current Stock]]&lt;VSCN_Clean[[#This Row],[Reorder Level]]))</f>
        <v>0</v>
      </c>
      <c r="AA23" s="13">
        <f>--(VSCN_Clean[[#This Row],[Current Stock]]&gt;=VSCN_Clean[[#This Row],[Reorder Level]])</f>
        <v>1</v>
      </c>
      <c r="AB23" s="12">
        <f>IFERROR(COUNTIFS(VSCN_Clean[Supplier],VSCN_Clean[[#This Row],[Supplier]],VSCN_Clean[On-Time Flag],1)/COUNTIF(VSCN_Clean[Supplier],VSCN_Clean[[#This Row],[Supplier]]),0)</f>
        <v>0.66666666666666663</v>
      </c>
      <c r="AC23" s="13">
        <f>VSCN_Clean[[#This Row],[Delivery Date]]-VSCN_Clean[[#This Row],[Order Date]]</f>
        <v>6</v>
      </c>
      <c r="AD23" s="13">
        <f>VSCN_Clean[[#This Row],[Current Stock]]-VSCN_Clean[[#This Row],[Reorder Level]]</f>
        <v>83</v>
      </c>
    </row>
    <row r="24" spans="1:30" x14ac:dyDescent="0.35">
      <c r="A24" t="s">
        <v>111</v>
      </c>
      <c r="B24" s="3">
        <v>46210</v>
      </c>
      <c r="C24" t="s">
        <v>112</v>
      </c>
      <c r="D24" t="s">
        <v>55</v>
      </c>
      <c r="E24" t="s">
        <v>56</v>
      </c>
      <c r="F24" t="s">
        <v>50</v>
      </c>
      <c r="G24" t="s">
        <v>43</v>
      </c>
      <c r="H24" t="s">
        <v>44</v>
      </c>
      <c r="I24" t="s">
        <v>44</v>
      </c>
      <c r="J24" t="s">
        <v>63</v>
      </c>
      <c r="K24" t="s">
        <v>69</v>
      </c>
      <c r="L24" s="4">
        <v>201</v>
      </c>
      <c r="M24" s="5">
        <v>320</v>
      </c>
      <c r="N24" s="5">
        <v>64320</v>
      </c>
      <c r="O24" s="4">
        <v>344</v>
      </c>
      <c r="P24" s="4">
        <v>50</v>
      </c>
      <c r="Q24" s="4">
        <v>13</v>
      </c>
      <c r="R24" s="3">
        <v>46223</v>
      </c>
      <c r="S24" s="3">
        <v>46226</v>
      </c>
      <c r="T24" t="s">
        <v>29</v>
      </c>
      <c r="U24" s="13">
        <f>VSCN_Clean[[#This Row],[Delivery Date]]-VSCN_Clean[[#This Row],[Promised Date]]</f>
        <v>3</v>
      </c>
      <c r="V24" s="13">
        <f>--(VSCN_Clean[[#This Row],[Delivery Date]]&lt;=VSCN_Clean[[#This Row],[Promised Date]])</f>
        <v>0</v>
      </c>
      <c r="W24" s="13">
        <f>--(VSCN_Clean[[#This Row],[Delivery Date]]&gt;VSCN_Clean[[#This Row],[Promised Date]])</f>
        <v>1</v>
      </c>
      <c r="X24" t="str">
        <f>IF(VSCN_Clean[[#This Row],[Current Stock]]&lt;=0,"Stock-out",IF(VSCN_Clean[[#This Row],[Current Stock]]&lt;VSCN_Clean[[#This Row],[Reorder Level]],"Low Stock","Healthy"))</f>
        <v>Healthy</v>
      </c>
      <c r="Y24" s="13">
        <f>--(VSCN_Clean[[#This Row],[Current Stock]]&lt;=0)</f>
        <v>0</v>
      </c>
      <c r="Z24" s="13">
        <f>--(AND(VSCN_Clean[[#This Row],[Current Stock]]&gt;0,VSCN_Clean[[#This Row],[Current Stock]]&lt;VSCN_Clean[[#This Row],[Reorder Level]]))</f>
        <v>0</v>
      </c>
      <c r="AA24" s="13">
        <f>--(VSCN_Clean[[#This Row],[Current Stock]]&gt;=VSCN_Clean[[#This Row],[Reorder Level]])</f>
        <v>1</v>
      </c>
      <c r="AB24" s="12">
        <f>IFERROR(COUNTIFS(VSCN_Clean[Supplier],VSCN_Clean[[#This Row],[Supplier]],VSCN_Clean[On-Time Flag],1)/COUNTIF(VSCN_Clean[Supplier],VSCN_Clean[[#This Row],[Supplier]]),0)</f>
        <v>0.33333333333333331</v>
      </c>
      <c r="AC24" s="13">
        <f>VSCN_Clean[[#This Row],[Delivery Date]]-VSCN_Clean[[#This Row],[Order Date]]</f>
        <v>16</v>
      </c>
      <c r="AD24" s="13">
        <f>VSCN_Clean[[#This Row],[Current Stock]]-VSCN_Clean[[#This Row],[Reorder Level]]</f>
        <v>294</v>
      </c>
    </row>
    <row r="25" spans="1:30" x14ac:dyDescent="0.35">
      <c r="A25" t="s">
        <v>113</v>
      </c>
      <c r="B25" s="3">
        <v>46210</v>
      </c>
      <c r="C25" t="s">
        <v>114</v>
      </c>
      <c r="D25" t="s">
        <v>107</v>
      </c>
      <c r="E25" t="s">
        <v>56</v>
      </c>
      <c r="F25" t="s">
        <v>57</v>
      </c>
      <c r="G25" t="s">
        <v>67</v>
      </c>
      <c r="H25" t="s">
        <v>26</v>
      </c>
      <c r="I25" t="s">
        <v>26</v>
      </c>
      <c r="J25" t="s">
        <v>27</v>
      </c>
      <c r="K25" t="s">
        <v>28</v>
      </c>
      <c r="L25" s="4">
        <v>226</v>
      </c>
      <c r="M25" s="5">
        <v>650</v>
      </c>
      <c r="N25" s="5">
        <v>146900</v>
      </c>
      <c r="O25" s="4">
        <v>274</v>
      </c>
      <c r="P25" s="4">
        <v>75</v>
      </c>
      <c r="Q25" s="4">
        <v>10</v>
      </c>
      <c r="R25" s="3">
        <v>46220</v>
      </c>
      <c r="S25" s="3">
        <v>46220</v>
      </c>
      <c r="T25" t="s">
        <v>37</v>
      </c>
      <c r="U25" s="13">
        <f>VSCN_Clean[[#This Row],[Delivery Date]]-VSCN_Clean[[#This Row],[Promised Date]]</f>
        <v>0</v>
      </c>
      <c r="V25" s="13">
        <f>--(VSCN_Clean[[#This Row],[Delivery Date]]&lt;=VSCN_Clean[[#This Row],[Promised Date]])</f>
        <v>1</v>
      </c>
      <c r="W25" s="13">
        <f>--(VSCN_Clean[[#This Row],[Delivery Date]]&gt;VSCN_Clean[[#This Row],[Promised Date]])</f>
        <v>0</v>
      </c>
      <c r="X25" t="str">
        <f>IF(VSCN_Clean[[#This Row],[Current Stock]]&lt;=0,"Stock-out",IF(VSCN_Clean[[#This Row],[Current Stock]]&lt;VSCN_Clean[[#This Row],[Reorder Level]],"Low Stock","Healthy"))</f>
        <v>Healthy</v>
      </c>
      <c r="Y25" s="13">
        <f>--(VSCN_Clean[[#This Row],[Current Stock]]&lt;=0)</f>
        <v>0</v>
      </c>
      <c r="Z25" s="13">
        <f>--(AND(VSCN_Clean[[#This Row],[Current Stock]]&gt;0,VSCN_Clean[[#This Row],[Current Stock]]&lt;VSCN_Clean[[#This Row],[Reorder Level]]))</f>
        <v>0</v>
      </c>
      <c r="AA25" s="13">
        <f>--(VSCN_Clean[[#This Row],[Current Stock]]&gt;=VSCN_Clean[[#This Row],[Reorder Level]])</f>
        <v>1</v>
      </c>
      <c r="AB25" s="12">
        <f>IFERROR(COUNTIFS(VSCN_Clean[Supplier],VSCN_Clean[[#This Row],[Supplier]],VSCN_Clean[On-Time Flag],1)/COUNTIF(VSCN_Clean[Supplier],VSCN_Clean[[#This Row],[Supplier]]),0)</f>
        <v>0.75</v>
      </c>
      <c r="AC25" s="13">
        <f>VSCN_Clean[[#This Row],[Delivery Date]]-VSCN_Clean[[#This Row],[Order Date]]</f>
        <v>10</v>
      </c>
      <c r="AD25" s="13">
        <f>VSCN_Clean[[#This Row],[Current Stock]]-VSCN_Clean[[#This Row],[Reorder Level]]</f>
        <v>199</v>
      </c>
    </row>
    <row r="26" spans="1:30" x14ac:dyDescent="0.35">
      <c r="A26" t="s">
        <v>115</v>
      </c>
      <c r="B26" s="3">
        <v>46231</v>
      </c>
      <c r="C26" t="s">
        <v>116</v>
      </c>
      <c r="D26" t="s">
        <v>48</v>
      </c>
      <c r="E26" t="s">
        <v>49</v>
      </c>
      <c r="F26" t="s">
        <v>100</v>
      </c>
      <c r="G26" t="s">
        <v>25</v>
      </c>
      <c r="H26" t="s">
        <v>26</v>
      </c>
      <c r="I26" t="s">
        <v>26</v>
      </c>
      <c r="J26" t="s">
        <v>45</v>
      </c>
      <c r="K26" t="s">
        <v>36</v>
      </c>
      <c r="L26" s="4">
        <v>162</v>
      </c>
      <c r="M26" s="5">
        <v>12</v>
      </c>
      <c r="N26" s="5">
        <v>1944</v>
      </c>
      <c r="O26" s="4">
        <v>50</v>
      </c>
      <c r="P26" s="4">
        <v>150</v>
      </c>
      <c r="Q26" s="4">
        <v>3</v>
      </c>
      <c r="R26" s="3">
        <v>46234</v>
      </c>
      <c r="S26" s="3">
        <v>46237</v>
      </c>
      <c r="T26" t="s">
        <v>29</v>
      </c>
      <c r="U26" s="13">
        <f>VSCN_Clean[[#This Row],[Delivery Date]]-VSCN_Clean[[#This Row],[Promised Date]]</f>
        <v>3</v>
      </c>
      <c r="V26" s="13">
        <f>--(VSCN_Clean[[#This Row],[Delivery Date]]&lt;=VSCN_Clean[[#This Row],[Promised Date]])</f>
        <v>0</v>
      </c>
      <c r="W26" s="13">
        <f>--(VSCN_Clean[[#This Row],[Delivery Date]]&gt;VSCN_Clean[[#This Row],[Promised Date]])</f>
        <v>1</v>
      </c>
      <c r="X26" t="str">
        <f>IF(VSCN_Clean[[#This Row],[Current Stock]]&lt;=0,"Stock-out",IF(VSCN_Clean[[#This Row],[Current Stock]]&lt;VSCN_Clean[[#This Row],[Reorder Level]],"Low Stock","Healthy"))</f>
        <v>Low Stock</v>
      </c>
      <c r="Y26" s="13">
        <f>--(VSCN_Clean[[#This Row],[Current Stock]]&lt;=0)</f>
        <v>0</v>
      </c>
      <c r="Z26" s="13">
        <f>--(AND(VSCN_Clean[[#This Row],[Current Stock]]&gt;0,VSCN_Clean[[#This Row],[Current Stock]]&lt;VSCN_Clean[[#This Row],[Reorder Level]]))</f>
        <v>1</v>
      </c>
      <c r="AA26" s="13">
        <f>--(VSCN_Clean[[#This Row],[Current Stock]]&gt;=VSCN_Clean[[#This Row],[Reorder Level]])</f>
        <v>0</v>
      </c>
      <c r="AB26" s="12">
        <f>IFERROR(COUNTIFS(VSCN_Clean[Supplier],VSCN_Clean[[#This Row],[Supplier]],VSCN_Clean[On-Time Flag],1)/COUNTIF(VSCN_Clean[Supplier],VSCN_Clean[[#This Row],[Supplier]]),0)</f>
        <v>0.5</v>
      </c>
      <c r="AC26" s="13">
        <f>VSCN_Clean[[#This Row],[Delivery Date]]-VSCN_Clean[[#This Row],[Order Date]]</f>
        <v>6</v>
      </c>
      <c r="AD26" s="13">
        <f>VSCN_Clean[[#This Row],[Current Stock]]-VSCN_Clean[[#This Row],[Reorder Level]]</f>
        <v>-100</v>
      </c>
    </row>
    <row r="27" spans="1:30" x14ac:dyDescent="0.35">
      <c r="A27" t="s">
        <v>117</v>
      </c>
      <c r="B27" s="3">
        <v>46238</v>
      </c>
      <c r="C27" t="s">
        <v>118</v>
      </c>
      <c r="D27" t="s">
        <v>107</v>
      </c>
      <c r="E27" t="s">
        <v>56</v>
      </c>
      <c r="F27" t="s">
        <v>66</v>
      </c>
      <c r="G27" t="s">
        <v>92</v>
      </c>
      <c r="H27" t="s">
        <v>44</v>
      </c>
      <c r="I27" t="s">
        <v>44</v>
      </c>
      <c r="J27" t="s">
        <v>45</v>
      </c>
      <c r="K27" t="s">
        <v>69</v>
      </c>
      <c r="L27" s="4">
        <v>67</v>
      </c>
      <c r="M27" s="5">
        <v>650</v>
      </c>
      <c r="N27" s="5">
        <v>43550</v>
      </c>
      <c r="O27" s="4">
        <v>109</v>
      </c>
      <c r="P27" s="4">
        <v>125</v>
      </c>
      <c r="Q27" s="4">
        <v>9</v>
      </c>
      <c r="R27" s="3">
        <v>46247</v>
      </c>
      <c r="S27" s="3">
        <v>46247</v>
      </c>
      <c r="T27" t="s">
        <v>37</v>
      </c>
      <c r="U27" s="13">
        <f>VSCN_Clean[[#This Row],[Delivery Date]]-VSCN_Clean[[#This Row],[Promised Date]]</f>
        <v>0</v>
      </c>
      <c r="V27" s="13">
        <f>--(VSCN_Clean[[#This Row],[Delivery Date]]&lt;=VSCN_Clean[[#This Row],[Promised Date]])</f>
        <v>1</v>
      </c>
      <c r="W27" s="13">
        <f>--(VSCN_Clean[[#This Row],[Delivery Date]]&gt;VSCN_Clean[[#This Row],[Promised Date]])</f>
        <v>0</v>
      </c>
      <c r="X27" t="str">
        <f>IF(VSCN_Clean[[#This Row],[Current Stock]]&lt;=0,"Stock-out",IF(VSCN_Clean[[#This Row],[Current Stock]]&lt;VSCN_Clean[[#This Row],[Reorder Level]],"Low Stock","Healthy"))</f>
        <v>Low Stock</v>
      </c>
      <c r="Y27" s="13">
        <f>--(VSCN_Clean[[#This Row],[Current Stock]]&lt;=0)</f>
        <v>0</v>
      </c>
      <c r="Z27" s="13">
        <f>--(AND(VSCN_Clean[[#This Row],[Current Stock]]&gt;0,VSCN_Clean[[#This Row],[Current Stock]]&lt;VSCN_Clean[[#This Row],[Reorder Level]]))</f>
        <v>1</v>
      </c>
      <c r="AA27" s="13">
        <f>--(VSCN_Clean[[#This Row],[Current Stock]]&gt;=VSCN_Clean[[#This Row],[Reorder Level]])</f>
        <v>0</v>
      </c>
      <c r="AB27" s="12">
        <f>IFERROR(COUNTIFS(VSCN_Clean[Supplier],VSCN_Clean[[#This Row],[Supplier]],VSCN_Clean[On-Time Flag],1)/COUNTIF(VSCN_Clean[Supplier],VSCN_Clean[[#This Row],[Supplier]]),0)</f>
        <v>1</v>
      </c>
      <c r="AC27" s="13">
        <f>VSCN_Clean[[#This Row],[Delivery Date]]-VSCN_Clean[[#This Row],[Order Date]]</f>
        <v>9</v>
      </c>
      <c r="AD27" s="13">
        <f>VSCN_Clean[[#This Row],[Current Stock]]-VSCN_Clean[[#This Row],[Reorder Level]]</f>
        <v>-16</v>
      </c>
    </row>
    <row r="28" spans="1:30" x14ac:dyDescent="0.35">
      <c r="A28" t="s">
        <v>119</v>
      </c>
      <c r="B28" s="3">
        <v>46214</v>
      </c>
      <c r="C28" t="s">
        <v>120</v>
      </c>
      <c r="D28" t="s">
        <v>55</v>
      </c>
      <c r="E28" t="s">
        <v>56</v>
      </c>
      <c r="F28" t="s">
        <v>50</v>
      </c>
      <c r="G28" t="s">
        <v>121</v>
      </c>
      <c r="H28" t="s">
        <v>35</v>
      </c>
      <c r="I28" t="s">
        <v>35</v>
      </c>
      <c r="J28" t="s">
        <v>68</v>
      </c>
      <c r="K28" t="s">
        <v>69</v>
      </c>
      <c r="L28" s="4">
        <v>21</v>
      </c>
      <c r="M28" s="5">
        <v>320</v>
      </c>
      <c r="N28" s="5">
        <v>6720</v>
      </c>
      <c r="O28" s="4">
        <v>356</v>
      </c>
      <c r="P28" s="4">
        <v>125</v>
      </c>
      <c r="Q28" s="4">
        <v>14</v>
      </c>
      <c r="R28" s="3">
        <v>46228</v>
      </c>
      <c r="S28" s="3">
        <v>46233</v>
      </c>
      <c r="T28" t="s">
        <v>29</v>
      </c>
      <c r="U28" s="13">
        <f>VSCN_Clean[[#This Row],[Delivery Date]]-VSCN_Clean[[#This Row],[Promised Date]]</f>
        <v>5</v>
      </c>
      <c r="V28" s="13">
        <f>--(VSCN_Clean[[#This Row],[Delivery Date]]&lt;=VSCN_Clean[[#This Row],[Promised Date]])</f>
        <v>0</v>
      </c>
      <c r="W28" s="13">
        <f>--(VSCN_Clean[[#This Row],[Delivery Date]]&gt;VSCN_Clean[[#This Row],[Promised Date]])</f>
        <v>1</v>
      </c>
      <c r="X28" t="str">
        <f>IF(VSCN_Clean[[#This Row],[Current Stock]]&lt;=0,"Stock-out",IF(VSCN_Clean[[#This Row],[Current Stock]]&lt;VSCN_Clean[[#This Row],[Reorder Level]],"Low Stock","Healthy"))</f>
        <v>Healthy</v>
      </c>
      <c r="Y28" s="13">
        <f>--(VSCN_Clean[[#This Row],[Current Stock]]&lt;=0)</f>
        <v>0</v>
      </c>
      <c r="Z28" s="13">
        <f>--(AND(VSCN_Clean[[#This Row],[Current Stock]]&gt;0,VSCN_Clean[[#This Row],[Current Stock]]&lt;VSCN_Clean[[#This Row],[Reorder Level]]))</f>
        <v>0</v>
      </c>
      <c r="AA28" s="13">
        <f>--(VSCN_Clean[[#This Row],[Current Stock]]&gt;=VSCN_Clean[[#This Row],[Reorder Level]])</f>
        <v>1</v>
      </c>
      <c r="AB28" s="12">
        <f>IFERROR(COUNTIFS(VSCN_Clean[Supplier],VSCN_Clean[[#This Row],[Supplier]],VSCN_Clean[On-Time Flag],1)/COUNTIF(VSCN_Clean[Supplier],VSCN_Clean[[#This Row],[Supplier]]),0)</f>
        <v>0.33333333333333331</v>
      </c>
      <c r="AC28" s="13">
        <f>VSCN_Clean[[#This Row],[Delivery Date]]-VSCN_Clean[[#This Row],[Order Date]]</f>
        <v>19</v>
      </c>
      <c r="AD28" s="13">
        <f>VSCN_Clean[[#This Row],[Current Stock]]-VSCN_Clean[[#This Row],[Reorder Level]]</f>
        <v>231</v>
      </c>
    </row>
    <row r="29" spans="1:30" x14ac:dyDescent="0.35">
      <c r="A29" t="s">
        <v>122</v>
      </c>
      <c r="B29" s="3">
        <v>46239</v>
      </c>
      <c r="C29" t="s">
        <v>123</v>
      </c>
      <c r="D29" t="s">
        <v>83</v>
      </c>
      <c r="E29" t="s">
        <v>41</v>
      </c>
      <c r="F29" t="s">
        <v>66</v>
      </c>
      <c r="G29" t="s">
        <v>121</v>
      </c>
      <c r="H29" t="s">
        <v>35</v>
      </c>
      <c r="I29" t="s">
        <v>35</v>
      </c>
      <c r="J29" t="s">
        <v>58</v>
      </c>
      <c r="K29" t="s">
        <v>28</v>
      </c>
      <c r="L29" s="4">
        <v>99</v>
      </c>
      <c r="M29" s="5">
        <v>15</v>
      </c>
      <c r="N29" s="5">
        <v>1485</v>
      </c>
      <c r="O29" s="4">
        <v>376</v>
      </c>
      <c r="P29" s="4">
        <v>150</v>
      </c>
      <c r="Q29" s="4">
        <v>11</v>
      </c>
      <c r="R29" s="3">
        <v>46250</v>
      </c>
      <c r="S29" s="3">
        <v>46250</v>
      </c>
      <c r="T29" t="s">
        <v>37</v>
      </c>
      <c r="U29" s="13">
        <f>VSCN_Clean[[#This Row],[Delivery Date]]-VSCN_Clean[[#This Row],[Promised Date]]</f>
        <v>0</v>
      </c>
      <c r="V29" s="13">
        <f>--(VSCN_Clean[[#This Row],[Delivery Date]]&lt;=VSCN_Clean[[#This Row],[Promised Date]])</f>
        <v>1</v>
      </c>
      <c r="W29" s="13">
        <f>--(VSCN_Clean[[#This Row],[Delivery Date]]&gt;VSCN_Clean[[#This Row],[Promised Date]])</f>
        <v>0</v>
      </c>
      <c r="X29" t="str">
        <f>IF(VSCN_Clean[[#This Row],[Current Stock]]&lt;=0,"Stock-out",IF(VSCN_Clean[[#This Row],[Current Stock]]&lt;VSCN_Clean[[#This Row],[Reorder Level]],"Low Stock","Healthy"))</f>
        <v>Healthy</v>
      </c>
      <c r="Y29" s="13">
        <f>--(VSCN_Clean[[#This Row],[Current Stock]]&lt;=0)</f>
        <v>0</v>
      </c>
      <c r="Z29" s="13">
        <f>--(AND(VSCN_Clean[[#This Row],[Current Stock]]&gt;0,VSCN_Clean[[#This Row],[Current Stock]]&lt;VSCN_Clean[[#This Row],[Reorder Level]]))</f>
        <v>0</v>
      </c>
      <c r="AA29" s="13">
        <f>--(VSCN_Clean[[#This Row],[Current Stock]]&gt;=VSCN_Clean[[#This Row],[Reorder Level]])</f>
        <v>1</v>
      </c>
      <c r="AB29" s="12">
        <f>IFERROR(COUNTIFS(VSCN_Clean[Supplier],VSCN_Clean[[#This Row],[Supplier]],VSCN_Clean[On-Time Flag],1)/COUNTIF(VSCN_Clean[Supplier],VSCN_Clean[[#This Row],[Supplier]]),0)</f>
        <v>1</v>
      </c>
      <c r="AC29" s="13">
        <f>VSCN_Clean[[#This Row],[Delivery Date]]-VSCN_Clean[[#This Row],[Order Date]]</f>
        <v>11</v>
      </c>
      <c r="AD29" s="13">
        <f>VSCN_Clean[[#This Row],[Current Stock]]-VSCN_Clean[[#This Row],[Reorder Level]]</f>
        <v>226</v>
      </c>
    </row>
    <row r="30" spans="1:30" x14ac:dyDescent="0.35">
      <c r="A30" t="s">
        <v>124</v>
      </c>
      <c r="B30" s="3">
        <v>46224</v>
      </c>
      <c r="C30" t="s">
        <v>125</v>
      </c>
      <c r="D30" t="s">
        <v>107</v>
      </c>
      <c r="E30" t="s">
        <v>56</v>
      </c>
      <c r="F30" t="s">
        <v>62</v>
      </c>
      <c r="G30" t="s">
        <v>26</v>
      </c>
      <c r="H30" t="s">
        <v>86</v>
      </c>
      <c r="I30" t="s">
        <v>86</v>
      </c>
      <c r="J30" t="s">
        <v>58</v>
      </c>
      <c r="K30" t="s">
        <v>28</v>
      </c>
      <c r="L30" s="4">
        <v>45</v>
      </c>
      <c r="M30" s="5">
        <v>650</v>
      </c>
      <c r="N30" s="5">
        <v>29250</v>
      </c>
      <c r="O30" s="4">
        <v>41</v>
      </c>
      <c r="P30" s="4">
        <v>150</v>
      </c>
      <c r="Q30" s="4">
        <v>5</v>
      </c>
      <c r="R30" s="3">
        <v>46229</v>
      </c>
      <c r="S30" s="3">
        <v>46229</v>
      </c>
      <c r="T30" t="s">
        <v>37</v>
      </c>
      <c r="U30" s="13">
        <f>VSCN_Clean[[#This Row],[Delivery Date]]-VSCN_Clean[[#This Row],[Promised Date]]</f>
        <v>0</v>
      </c>
      <c r="V30" s="13">
        <f>--(VSCN_Clean[[#This Row],[Delivery Date]]&lt;=VSCN_Clean[[#This Row],[Promised Date]])</f>
        <v>1</v>
      </c>
      <c r="W30" s="13">
        <f>--(VSCN_Clean[[#This Row],[Delivery Date]]&gt;VSCN_Clean[[#This Row],[Promised Date]])</f>
        <v>0</v>
      </c>
      <c r="X30" t="str">
        <f>IF(VSCN_Clean[[#This Row],[Current Stock]]&lt;=0,"Stock-out",IF(VSCN_Clean[[#This Row],[Current Stock]]&lt;VSCN_Clean[[#This Row],[Reorder Level]],"Low Stock","Healthy"))</f>
        <v>Low Stock</v>
      </c>
      <c r="Y30" s="13">
        <f>--(VSCN_Clean[[#This Row],[Current Stock]]&lt;=0)</f>
        <v>0</v>
      </c>
      <c r="Z30" s="13">
        <f>--(AND(VSCN_Clean[[#This Row],[Current Stock]]&gt;0,VSCN_Clean[[#This Row],[Current Stock]]&lt;VSCN_Clean[[#This Row],[Reorder Level]]))</f>
        <v>1</v>
      </c>
      <c r="AA30" s="13">
        <f>--(VSCN_Clean[[#This Row],[Current Stock]]&gt;=VSCN_Clean[[#This Row],[Reorder Level]])</f>
        <v>0</v>
      </c>
      <c r="AB30" s="12">
        <f>IFERROR(COUNTIFS(VSCN_Clean[Supplier],VSCN_Clean[[#This Row],[Supplier]],VSCN_Clean[On-Time Flag],1)/COUNTIF(VSCN_Clean[Supplier],VSCN_Clean[[#This Row],[Supplier]]),0)</f>
        <v>1</v>
      </c>
      <c r="AC30" s="13">
        <f>VSCN_Clean[[#This Row],[Delivery Date]]-VSCN_Clean[[#This Row],[Order Date]]</f>
        <v>5</v>
      </c>
      <c r="AD30" s="13">
        <f>VSCN_Clean[[#This Row],[Current Stock]]-VSCN_Clean[[#This Row],[Reorder Level]]</f>
        <v>-109</v>
      </c>
    </row>
    <row r="31" spans="1:30" x14ac:dyDescent="0.35">
      <c r="A31" t="s">
        <v>126</v>
      </c>
      <c r="B31" s="3">
        <v>46242</v>
      </c>
      <c r="C31" t="s">
        <v>127</v>
      </c>
      <c r="D31" t="s">
        <v>22</v>
      </c>
      <c r="E31" t="s">
        <v>23</v>
      </c>
      <c r="F31" t="s">
        <v>66</v>
      </c>
      <c r="G31" t="s">
        <v>43</v>
      </c>
      <c r="H31" t="s">
        <v>44</v>
      </c>
      <c r="I31" t="s">
        <v>44</v>
      </c>
      <c r="J31" t="s">
        <v>74</v>
      </c>
      <c r="K31" t="s">
        <v>36</v>
      </c>
      <c r="L31" s="4">
        <v>365</v>
      </c>
      <c r="M31" s="5">
        <v>180</v>
      </c>
      <c r="N31" s="5">
        <v>65700</v>
      </c>
      <c r="O31" s="4">
        <v>296</v>
      </c>
      <c r="P31" s="4">
        <v>75</v>
      </c>
      <c r="Q31" s="4">
        <v>12</v>
      </c>
      <c r="R31" s="3">
        <v>46254</v>
      </c>
      <c r="S31" s="3">
        <v>46254</v>
      </c>
      <c r="T31" t="s">
        <v>37</v>
      </c>
      <c r="U31" s="13">
        <f>VSCN_Clean[[#This Row],[Delivery Date]]-VSCN_Clean[[#This Row],[Promised Date]]</f>
        <v>0</v>
      </c>
      <c r="V31" s="13">
        <f>--(VSCN_Clean[[#This Row],[Delivery Date]]&lt;=VSCN_Clean[[#This Row],[Promised Date]])</f>
        <v>1</v>
      </c>
      <c r="W31" s="13">
        <f>--(VSCN_Clean[[#This Row],[Delivery Date]]&gt;VSCN_Clean[[#This Row],[Promised Date]])</f>
        <v>0</v>
      </c>
      <c r="X31" t="str">
        <f>IF(VSCN_Clean[[#This Row],[Current Stock]]&lt;=0,"Stock-out",IF(VSCN_Clean[[#This Row],[Current Stock]]&lt;VSCN_Clean[[#This Row],[Reorder Level]],"Low Stock","Healthy"))</f>
        <v>Healthy</v>
      </c>
      <c r="Y31" s="13">
        <f>--(VSCN_Clean[[#This Row],[Current Stock]]&lt;=0)</f>
        <v>0</v>
      </c>
      <c r="Z31" s="13">
        <f>--(AND(VSCN_Clean[[#This Row],[Current Stock]]&gt;0,VSCN_Clean[[#This Row],[Current Stock]]&lt;VSCN_Clean[[#This Row],[Reorder Level]]))</f>
        <v>0</v>
      </c>
      <c r="AA31" s="13">
        <f>--(VSCN_Clean[[#This Row],[Current Stock]]&gt;=VSCN_Clean[[#This Row],[Reorder Level]])</f>
        <v>1</v>
      </c>
      <c r="AB31" s="12">
        <f>IFERROR(COUNTIFS(VSCN_Clean[Supplier],VSCN_Clean[[#This Row],[Supplier]],VSCN_Clean[On-Time Flag],1)/COUNTIF(VSCN_Clean[Supplier],VSCN_Clean[[#This Row],[Supplier]]),0)</f>
        <v>1</v>
      </c>
      <c r="AC31" s="13">
        <f>VSCN_Clean[[#This Row],[Delivery Date]]-VSCN_Clean[[#This Row],[Order Date]]</f>
        <v>12</v>
      </c>
      <c r="AD31" s="13">
        <f>VSCN_Clean[[#This Row],[Current Stock]]-VSCN_Clean[[#This Row],[Reorder Level]]</f>
        <v>221</v>
      </c>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11FA-574A-477C-9515-89F5B14D1BD8}">
  <dimension ref="A1:F30"/>
  <sheetViews>
    <sheetView tabSelected="1" topLeftCell="A9" workbookViewId="0">
      <selection activeCell="E5" sqref="E5"/>
    </sheetView>
  </sheetViews>
  <sheetFormatPr defaultRowHeight="14.5" x14ac:dyDescent="0.35"/>
  <cols>
    <col min="1" max="1" width="45.36328125" bestFit="1" customWidth="1"/>
    <col min="2" max="3" width="54.54296875" customWidth="1"/>
    <col min="4" max="4" width="6.1796875" bestFit="1" customWidth="1"/>
    <col min="5" max="5" width="45.81640625" bestFit="1" customWidth="1"/>
    <col min="6" max="6" width="16.54296875" bestFit="1" customWidth="1"/>
  </cols>
  <sheetData>
    <row r="1" spans="1:6" ht="21" x14ac:dyDescent="0.5">
      <c r="A1" s="7" t="s">
        <v>128</v>
      </c>
      <c r="B1" s="7"/>
      <c r="C1" s="7"/>
      <c r="D1" s="7"/>
      <c r="E1" s="7"/>
      <c r="F1" s="7"/>
    </row>
    <row r="2" spans="1:6" x14ac:dyDescent="0.35">
      <c r="A2" s="8" t="s">
        <v>129</v>
      </c>
      <c r="B2" s="8"/>
      <c r="C2" s="8"/>
      <c r="D2" s="8"/>
      <c r="E2" s="8"/>
      <c r="F2" s="8"/>
    </row>
    <row r="4" spans="1:6" x14ac:dyDescent="0.35">
      <c r="A4" s="9" t="s">
        <v>130</v>
      </c>
      <c r="B4" s="9" t="s">
        <v>131</v>
      </c>
      <c r="C4" s="9" t="s">
        <v>132</v>
      </c>
      <c r="D4" s="9" t="s">
        <v>133</v>
      </c>
      <c r="E4" s="9" t="s">
        <v>134</v>
      </c>
      <c r="F4" s="9" t="s">
        <v>135</v>
      </c>
    </row>
    <row r="5" spans="1:6" x14ac:dyDescent="0.35">
      <c r="A5" t="s">
        <v>136</v>
      </c>
      <c r="B5">
        <v>30</v>
      </c>
      <c r="C5">
        <v>0</v>
      </c>
      <c r="D5" s="10" t="s">
        <v>137</v>
      </c>
      <c r="E5" t="s">
        <v>138</v>
      </c>
      <c r="F5" t="s">
        <v>139</v>
      </c>
    </row>
    <row r="6" spans="1:6" x14ac:dyDescent="0.35">
      <c r="A6" t="s">
        <v>140</v>
      </c>
      <c r="B6">
        <v>30</v>
      </c>
      <c r="C6">
        <v>0</v>
      </c>
      <c r="D6" s="10" t="s">
        <v>137</v>
      </c>
      <c r="E6" t="s">
        <v>138</v>
      </c>
      <c r="F6" t="s">
        <v>139</v>
      </c>
    </row>
    <row r="7" spans="1:6" x14ac:dyDescent="0.35">
      <c r="A7" t="s">
        <v>141</v>
      </c>
      <c r="B7">
        <v>30</v>
      </c>
      <c r="C7">
        <v>0</v>
      </c>
      <c r="D7" s="10" t="s">
        <v>137</v>
      </c>
      <c r="E7" t="s">
        <v>138</v>
      </c>
      <c r="F7" t="s">
        <v>139</v>
      </c>
    </row>
    <row r="8" spans="1:6" x14ac:dyDescent="0.35">
      <c r="A8" t="s">
        <v>142</v>
      </c>
      <c r="B8">
        <v>30</v>
      </c>
      <c r="C8">
        <v>0</v>
      </c>
      <c r="D8" s="10" t="s">
        <v>137</v>
      </c>
      <c r="E8" t="s">
        <v>143</v>
      </c>
      <c r="F8" t="s">
        <v>139</v>
      </c>
    </row>
    <row r="9" spans="1:6" x14ac:dyDescent="0.35">
      <c r="A9" t="s">
        <v>144</v>
      </c>
      <c r="B9">
        <v>30</v>
      </c>
      <c r="C9">
        <v>0</v>
      </c>
      <c r="D9" s="10" t="s">
        <v>137</v>
      </c>
      <c r="E9" t="s">
        <v>145</v>
      </c>
      <c r="F9" t="s">
        <v>139</v>
      </c>
    </row>
    <row r="10" spans="1:6" x14ac:dyDescent="0.35">
      <c r="A10" t="s">
        <v>146</v>
      </c>
      <c r="B10">
        <v>30</v>
      </c>
      <c r="C10">
        <v>0</v>
      </c>
      <c r="D10" s="10" t="s">
        <v>137</v>
      </c>
      <c r="E10" t="s">
        <v>138</v>
      </c>
      <c r="F10" t="s">
        <v>139</v>
      </c>
    </row>
    <row r="11" spans="1:6" x14ac:dyDescent="0.35">
      <c r="A11" t="s">
        <v>147</v>
      </c>
      <c r="B11">
        <v>30</v>
      </c>
      <c r="C11">
        <v>0</v>
      </c>
      <c r="D11" s="10" t="s">
        <v>137</v>
      </c>
      <c r="E11" t="s">
        <v>138</v>
      </c>
      <c r="F11" t="s">
        <v>139</v>
      </c>
    </row>
    <row r="12" spans="1:6" x14ac:dyDescent="0.35">
      <c r="A12" t="s">
        <v>148</v>
      </c>
      <c r="B12">
        <v>30</v>
      </c>
      <c r="C12">
        <v>0</v>
      </c>
      <c r="D12" s="10" t="s">
        <v>137</v>
      </c>
      <c r="E12" t="s">
        <v>138</v>
      </c>
      <c r="F12" t="s">
        <v>139</v>
      </c>
    </row>
    <row r="13" spans="1:6" x14ac:dyDescent="0.35">
      <c r="A13" t="s">
        <v>149</v>
      </c>
      <c r="B13">
        <v>30</v>
      </c>
      <c r="C13">
        <v>0</v>
      </c>
      <c r="D13" s="10" t="s">
        <v>137</v>
      </c>
      <c r="E13" t="s">
        <v>138</v>
      </c>
      <c r="F13" t="s">
        <v>139</v>
      </c>
    </row>
    <row r="14" spans="1:6" x14ac:dyDescent="0.35">
      <c r="A14" t="s">
        <v>150</v>
      </c>
      <c r="B14">
        <v>30</v>
      </c>
      <c r="C14">
        <v>0</v>
      </c>
      <c r="D14" s="10" t="s">
        <v>137</v>
      </c>
      <c r="E14" t="s">
        <v>151</v>
      </c>
      <c r="F14" t="s">
        <v>139</v>
      </c>
    </row>
    <row r="15" spans="1:6" x14ac:dyDescent="0.35">
      <c r="D15" s="10"/>
    </row>
    <row r="17" spans="1:3" x14ac:dyDescent="0.35">
      <c r="A17" s="9" t="s">
        <v>152</v>
      </c>
      <c r="B17" s="9" t="s">
        <v>153</v>
      </c>
      <c r="C17" s="9" t="s">
        <v>154</v>
      </c>
    </row>
    <row r="18" spans="1:3" ht="29" x14ac:dyDescent="0.35">
      <c r="A18" t="s">
        <v>4</v>
      </c>
      <c r="B18">
        <v>6</v>
      </c>
      <c r="C18" s="11" t="s">
        <v>155</v>
      </c>
    </row>
    <row r="19" spans="1:3" ht="43.5" x14ac:dyDescent="0.35">
      <c r="A19" t="s">
        <v>5</v>
      </c>
      <c r="B19">
        <v>10</v>
      </c>
      <c r="C19" s="11" t="s">
        <v>156</v>
      </c>
    </row>
    <row r="20" spans="1:3" x14ac:dyDescent="0.35">
      <c r="A20" t="s">
        <v>8</v>
      </c>
      <c r="B20">
        <v>5</v>
      </c>
      <c r="C20" s="11" t="s">
        <v>157</v>
      </c>
    </row>
    <row r="21" spans="1:3" ht="29" x14ac:dyDescent="0.35">
      <c r="A21" t="s">
        <v>9</v>
      </c>
      <c r="B21">
        <v>6</v>
      </c>
      <c r="C21" s="11" t="s">
        <v>158</v>
      </c>
    </row>
    <row r="22" spans="1:3" x14ac:dyDescent="0.35">
      <c r="A22" t="s">
        <v>10</v>
      </c>
      <c r="B22">
        <v>4</v>
      </c>
      <c r="C22" s="11" t="s">
        <v>159</v>
      </c>
    </row>
    <row r="23" spans="1:3" x14ac:dyDescent="0.35">
      <c r="A23" t="s">
        <v>19</v>
      </c>
      <c r="B23">
        <v>2</v>
      </c>
      <c r="C23" s="11" t="s">
        <v>160</v>
      </c>
    </row>
    <row r="26" spans="1:3" x14ac:dyDescent="0.35">
      <c r="A26" s="9" t="s">
        <v>161</v>
      </c>
      <c r="B26" s="9" t="s">
        <v>162</v>
      </c>
    </row>
    <row r="27" spans="1:3" ht="29" x14ac:dyDescent="0.35">
      <c r="A27" t="s">
        <v>163</v>
      </c>
      <c r="B27" s="11" t="s">
        <v>164</v>
      </c>
    </row>
    <row r="28" spans="1:3" ht="29" x14ac:dyDescent="0.35">
      <c r="A28" t="s">
        <v>165</v>
      </c>
      <c r="B28" s="11" t="s">
        <v>166</v>
      </c>
    </row>
    <row r="29" spans="1:3" x14ac:dyDescent="0.35">
      <c r="A29" t="s">
        <v>167</v>
      </c>
      <c r="B29" s="11" t="s">
        <v>168</v>
      </c>
    </row>
    <row r="30" spans="1:3" ht="43.5" x14ac:dyDescent="0.35">
      <c r="A30" t="s">
        <v>169</v>
      </c>
      <c r="B30" s="11" t="s">
        <v>170</v>
      </c>
    </row>
  </sheetData>
  <mergeCells count="2">
    <mergeCell ref="A1:F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A24D8-68D5-4F01-AA31-8B5FA93A0BC6}">
  <dimension ref="A1:G43"/>
  <sheetViews>
    <sheetView topLeftCell="A26" zoomScale="85" zoomScaleNormal="85" workbookViewId="0">
      <selection activeCell="E40" sqref="E40"/>
    </sheetView>
  </sheetViews>
  <sheetFormatPr defaultRowHeight="14.5" x14ac:dyDescent="0.35"/>
  <cols>
    <col min="1" max="1" width="20.90625" customWidth="1"/>
    <col min="2" max="2" width="44.54296875" customWidth="1"/>
    <col min="3" max="3" width="25.453125" customWidth="1"/>
    <col min="4" max="4" width="43.6328125" customWidth="1"/>
    <col min="5" max="5" width="40" customWidth="1"/>
    <col min="6" max="6" width="14.54296875" bestFit="1" customWidth="1"/>
    <col min="7" max="7" width="40" customWidth="1"/>
  </cols>
  <sheetData>
    <row r="1" spans="1:7" ht="21" x14ac:dyDescent="0.5">
      <c r="A1" s="7" t="s">
        <v>171</v>
      </c>
      <c r="B1" s="7"/>
      <c r="C1" s="7"/>
      <c r="D1" s="7"/>
      <c r="E1" s="7"/>
      <c r="F1" s="7"/>
      <c r="G1" s="7"/>
    </row>
    <row r="2" spans="1:7" x14ac:dyDescent="0.35">
      <c r="A2" s="8" t="s">
        <v>172</v>
      </c>
      <c r="B2" s="8"/>
      <c r="C2" s="8"/>
      <c r="D2" s="8"/>
      <c r="E2" s="8"/>
      <c r="F2" s="8"/>
      <c r="G2" s="8"/>
    </row>
    <row r="4" spans="1:7" x14ac:dyDescent="0.35">
      <c r="A4" s="9" t="s">
        <v>173</v>
      </c>
      <c r="B4" s="9" t="s">
        <v>174</v>
      </c>
      <c r="C4" s="9" t="s">
        <v>175</v>
      </c>
      <c r="D4" s="9" t="s">
        <v>176</v>
      </c>
      <c r="E4" s="9" t="s">
        <v>177</v>
      </c>
      <c r="F4" s="9" t="s">
        <v>178</v>
      </c>
      <c r="G4" s="9" t="s">
        <v>179</v>
      </c>
    </row>
    <row r="5" spans="1:7" ht="29" x14ac:dyDescent="0.35">
      <c r="A5">
        <v>1</v>
      </c>
      <c r="B5" t="s">
        <v>180</v>
      </c>
      <c r="C5" s="12">
        <f>AVERAGE(VSCN_Clean[On-Time Flag])</f>
        <v>0.6</v>
      </c>
      <c r="D5" s="11" t="s">
        <v>181</v>
      </c>
      <c r="E5" s="11" t="s">
        <v>182</v>
      </c>
      <c r="F5" s="10" t="s">
        <v>183</v>
      </c>
      <c r="G5" s="11" t="s">
        <v>184</v>
      </c>
    </row>
    <row r="6" spans="1:7" ht="29" x14ac:dyDescent="0.35">
      <c r="A6">
        <v>2</v>
      </c>
      <c r="B6" t="s">
        <v>185</v>
      </c>
      <c r="C6" s="13">
        <f>SUM(VSCN_Clean[Delay Flag])</f>
        <v>12</v>
      </c>
      <c r="D6" s="11" t="s">
        <v>186</v>
      </c>
      <c r="E6" s="11" t="s">
        <v>187</v>
      </c>
      <c r="F6" s="10" t="s">
        <v>183</v>
      </c>
      <c r="G6" s="11" t="s">
        <v>188</v>
      </c>
    </row>
    <row r="7" spans="1:7" ht="29" x14ac:dyDescent="0.35">
      <c r="A7">
        <v>3</v>
      </c>
      <c r="B7" t="s">
        <v>189</v>
      </c>
      <c r="C7" s="5">
        <f>SUM(VSCN_Clean[Order Value])</f>
        <v>1004846.1</v>
      </c>
      <c r="D7" s="11" t="s">
        <v>190</v>
      </c>
      <c r="E7" s="11" t="s">
        <v>191</v>
      </c>
      <c r="F7" s="10" t="s">
        <v>183</v>
      </c>
      <c r="G7" s="11" t="s">
        <v>192</v>
      </c>
    </row>
    <row r="8" spans="1:7" ht="29" x14ac:dyDescent="0.35">
      <c r="A8">
        <v>4</v>
      </c>
      <c r="B8" t="s">
        <v>193</v>
      </c>
      <c r="C8" s="13">
        <f>SUM(VSCN_Clean[Low Stock Flag])</f>
        <v>10</v>
      </c>
      <c r="D8" s="11" t="s">
        <v>194</v>
      </c>
      <c r="E8" s="11" t="s">
        <v>195</v>
      </c>
      <c r="F8" s="10" t="s">
        <v>183</v>
      </c>
      <c r="G8" s="11" t="s">
        <v>196</v>
      </c>
    </row>
    <row r="9" spans="1:7" ht="29" x14ac:dyDescent="0.35">
      <c r="A9">
        <v>5</v>
      </c>
      <c r="B9" t="s">
        <v>197</v>
      </c>
      <c r="C9" s="13">
        <f>SUM(VSCN_Clean[Stock-out Flag])</f>
        <v>0</v>
      </c>
      <c r="D9" s="11" t="s">
        <v>198</v>
      </c>
      <c r="E9" s="11" t="s">
        <v>199</v>
      </c>
      <c r="F9" s="10" t="s">
        <v>183</v>
      </c>
      <c r="G9" s="11" t="s">
        <v>200</v>
      </c>
    </row>
    <row r="10" spans="1:7" ht="29" x14ac:dyDescent="0.35">
      <c r="A10">
        <v>6</v>
      </c>
      <c r="B10" t="s">
        <v>201</v>
      </c>
      <c r="C10" t="str">
        <f>COUNTIF(D19:D28,"&gt;=90%")&amp;" of "&amp;COUNTA(A19:A28)&amp;" suppliers ≥90%"</f>
        <v>2 of 10 suppliers ≥90%</v>
      </c>
      <c r="D10" s="11" t="s">
        <v>202</v>
      </c>
      <c r="E10" s="11" t="s">
        <v>203</v>
      </c>
      <c r="F10" s="10" t="s">
        <v>183</v>
      </c>
      <c r="G10" s="11" t="s">
        <v>204</v>
      </c>
    </row>
    <row r="11" spans="1:7" ht="29" x14ac:dyDescent="0.35">
      <c r="A11">
        <v>7</v>
      </c>
      <c r="B11" t="s">
        <v>205</v>
      </c>
      <c r="C11" s="14">
        <f>AVERAGE(VSCN_Clean[Lead Time (Days)])</f>
        <v>9.1</v>
      </c>
      <c r="D11" s="11" t="s">
        <v>206</v>
      </c>
      <c r="E11" s="11" t="s">
        <v>207</v>
      </c>
      <c r="F11" s="10" t="s">
        <v>183</v>
      </c>
      <c r="G11" s="11" t="s">
        <v>208</v>
      </c>
    </row>
    <row r="12" spans="1:7" ht="29" x14ac:dyDescent="0.35">
      <c r="A12">
        <v>8</v>
      </c>
      <c r="B12" t="s">
        <v>209</v>
      </c>
      <c r="C12" s="4">
        <f>COUNTA(VSCN_Clean[Order ID])</f>
        <v>30</v>
      </c>
      <c r="D12" s="11" t="s">
        <v>210</v>
      </c>
      <c r="E12" s="11" t="s">
        <v>211</v>
      </c>
      <c r="F12" s="10" t="s">
        <v>183</v>
      </c>
      <c r="G12" s="11" t="s">
        <v>212</v>
      </c>
    </row>
    <row r="13" spans="1:7" ht="29" x14ac:dyDescent="0.35">
      <c r="A13">
        <v>9</v>
      </c>
      <c r="B13" t="s">
        <v>213</v>
      </c>
      <c r="C13" s="4">
        <f>SUM(VSCN_Clean[Quantity])</f>
        <v>6751</v>
      </c>
      <c r="D13" s="11" t="s">
        <v>214</v>
      </c>
      <c r="E13" s="11" t="s">
        <v>215</v>
      </c>
      <c r="F13" s="16" t="s">
        <v>216</v>
      </c>
      <c r="G13" s="11" t="s">
        <v>217</v>
      </c>
    </row>
    <row r="14" spans="1:7" ht="29" x14ac:dyDescent="0.35">
      <c r="A14">
        <v>10</v>
      </c>
      <c r="B14" t="s">
        <v>218</v>
      </c>
      <c r="C14" s="4">
        <f>SUM(VSCN_Clean[Healthy Stock Flag])</f>
        <v>20</v>
      </c>
      <c r="D14" s="11" t="s">
        <v>219</v>
      </c>
      <c r="E14" s="11" t="s">
        <v>220</v>
      </c>
      <c r="F14" s="16" t="s">
        <v>216</v>
      </c>
      <c r="G14" s="11" t="s">
        <v>221</v>
      </c>
    </row>
    <row r="17" spans="1:7" x14ac:dyDescent="0.35">
      <c r="A17" s="15" t="s">
        <v>222</v>
      </c>
      <c r="B17" s="15"/>
      <c r="C17" s="15"/>
      <c r="D17" s="15"/>
      <c r="E17" s="15"/>
      <c r="F17" s="15"/>
      <c r="G17" s="15"/>
    </row>
    <row r="18" spans="1:7" x14ac:dyDescent="0.35">
      <c r="A18" s="9" t="s">
        <v>5</v>
      </c>
      <c r="B18" s="9" t="s">
        <v>223</v>
      </c>
      <c r="C18" s="9" t="s">
        <v>224</v>
      </c>
      <c r="D18" s="9" t="s">
        <v>225</v>
      </c>
      <c r="E18" s="9" t="s">
        <v>185</v>
      </c>
      <c r="F18" s="9" t="s">
        <v>13</v>
      </c>
      <c r="G18" s="9" t="s">
        <v>226</v>
      </c>
    </row>
    <row r="19" spans="1:7" x14ac:dyDescent="0.35">
      <c r="A19" t="s">
        <v>108</v>
      </c>
      <c r="B19" s="13">
        <f>COUNTIF(VSCN_Clean[Supplier],A19)</f>
        <v>1</v>
      </c>
      <c r="C19" s="13">
        <f>COUNTIFS(VSCN_Clean[Supplier],A19,VSCN_Clean[Delivery Status],"On Time")</f>
        <v>0</v>
      </c>
      <c r="D19" s="12">
        <f>IFERROR(C19/B19,0)</f>
        <v>0</v>
      </c>
      <c r="E19" s="13">
        <f>COUNTIFS(VSCN_Clean[Supplier],A19,VSCN_Clean[Delivery Status],"Delayed")</f>
        <v>1</v>
      </c>
      <c r="F19" s="5">
        <f>SUMIF(VSCN_Clean[Supplier],A19,VSCN_Clean[Order Value])</f>
        <v>89050</v>
      </c>
      <c r="G19" s="14">
        <f>AVERAGEIF(VSCN_Clean[Supplier],A19,VSCN_Clean[Lead Time (Days)])</f>
        <v>7</v>
      </c>
    </row>
    <row r="20" spans="1:7" x14ac:dyDescent="0.35">
      <c r="A20" t="s">
        <v>62</v>
      </c>
      <c r="B20" s="13">
        <f>COUNTIF(VSCN_Clean[Supplier],A20)</f>
        <v>3</v>
      </c>
      <c r="C20" s="13">
        <f>COUNTIFS(VSCN_Clean[Supplier],A20,VSCN_Clean[Delivery Status],"On Time")</f>
        <v>3</v>
      </c>
      <c r="D20" s="12">
        <f t="shared" ref="D20:D28" si="0">IFERROR(C20/B20,0)</f>
        <v>1</v>
      </c>
      <c r="E20" s="13">
        <f>COUNTIFS(VSCN_Clean[Supplier],A20,VSCN_Clean[Delivery Status],"Delayed")</f>
        <v>0</v>
      </c>
      <c r="F20" s="5">
        <f>SUMIF(VSCN_Clean[Supplier],A20,VSCN_Clean[Order Value])</f>
        <v>101110</v>
      </c>
      <c r="G20" s="14">
        <f>AVERAGEIF(VSCN_Clean[Supplier],A20,VSCN_Clean[Lead Time (Days)])</f>
        <v>10.666666666666666</v>
      </c>
    </row>
    <row r="21" spans="1:7" x14ac:dyDescent="0.35">
      <c r="A21" t="s">
        <v>100</v>
      </c>
      <c r="B21" s="13">
        <f>COUNTIF(VSCN_Clean[Supplier],A21)</f>
        <v>2</v>
      </c>
      <c r="C21" s="13">
        <f>COUNTIFS(VSCN_Clean[Supplier],A21,VSCN_Clean[Delivery Status],"On Time")</f>
        <v>1</v>
      </c>
      <c r="D21" s="12">
        <f t="shared" si="0"/>
        <v>0.5</v>
      </c>
      <c r="E21" s="13">
        <f>COUNTIFS(VSCN_Clean[Supplier],A21,VSCN_Clean[Delivery Status],"Delayed")</f>
        <v>1</v>
      </c>
      <c r="F21" s="5">
        <f>SUMIF(VSCN_Clean[Supplier],A21,VSCN_Clean[Order Value])</f>
        <v>6228</v>
      </c>
      <c r="G21" s="14">
        <f>AVERAGEIF(VSCN_Clean[Supplier],A21,VSCN_Clean[Lead Time (Days)])</f>
        <v>6</v>
      </c>
    </row>
    <row r="22" spans="1:7" x14ac:dyDescent="0.35">
      <c r="A22" t="s">
        <v>57</v>
      </c>
      <c r="B22" s="13">
        <f>COUNTIF(VSCN_Clean[Supplier],A22)</f>
        <v>4</v>
      </c>
      <c r="C22" s="13">
        <f>COUNTIFS(VSCN_Clean[Supplier],A22,VSCN_Clean[Delivery Status],"On Time")</f>
        <v>3</v>
      </c>
      <c r="D22" s="12">
        <f t="shared" si="0"/>
        <v>0.75</v>
      </c>
      <c r="E22" s="13">
        <f>COUNTIFS(VSCN_Clean[Supplier],A22,VSCN_Clean[Delivery Status],"Delayed")</f>
        <v>1</v>
      </c>
      <c r="F22" s="5">
        <f>SUMIF(VSCN_Clean[Supplier],A22,VSCN_Clean[Order Value])</f>
        <v>367916</v>
      </c>
      <c r="G22" s="14">
        <f>AVERAGEIF(VSCN_Clean[Supplier],A22,VSCN_Clean[Lead Time (Days)])</f>
        <v>7</v>
      </c>
    </row>
    <row r="23" spans="1:7" x14ac:dyDescent="0.35">
      <c r="A23" t="s">
        <v>50</v>
      </c>
      <c r="B23" s="13">
        <f>COUNTIF(VSCN_Clean[Supplier],A23)</f>
        <v>3</v>
      </c>
      <c r="C23" s="13">
        <f>COUNTIFS(VSCN_Clean[Supplier],A23,VSCN_Clean[Delivery Status],"On Time")</f>
        <v>1</v>
      </c>
      <c r="D23" s="12">
        <f t="shared" si="0"/>
        <v>0.33333333333333331</v>
      </c>
      <c r="E23" s="13">
        <f>COUNTIFS(VSCN_Clean[Supplier],A23,VSCN_Clean[Delivery Status],"Delayed")</f>
        <v>2</v>
      </c>
      <c r="F23" s="5">
        <f>SUMIF(VSCN_Clean[Supplier],A23,VSCN_Clean[Order Value])</f>
        <v>75564</v>
      </c>
      <c r="G23" s="14">
        <f>AVERAGEIF(VSCN_Clean[Supplier],A23,VSCN_Clean[Lead Time (Days)])</f>
        <v>11.666666666666666</v>
      </c>
    </row>
    <row r="24" spans="1:7" x14ac:dyDescent="0.35">
      <c r="A24" t="s">
        <v>42</v>
      </c>
      <c r="B24" s="13">
        <f>COUNTIF(VSCN_Clean[Supplier],A24)</f>
        <v>1</v>
      </c>
      <c r="C24" s="13">
        <f>COUNTIFS(VSCN_Clean[Supplier],A24,VSCN_Clean[Delivery Status],"On Time")</f>
        <v>0</v>
      </c>
      <c r="D24" s="12">
        <f t="shared" si="0"/>
        <v>0</v>
      </c>
      <c r="E24" s="13">
        <f>COUNTIFS(VSCN_Clean[Supplier],A24,VSCN_Clean[Delivery Status],"Delayed")</f>
        <v>1</v>
      </c>
      <c r="F24" s="5">
        <f>SUMIF(VSCN_Clean[Supplier],A24,VSCN_Clean[Order Value])</f>
        <v>1737</v>
      </c>
      <c r="G24" s="14">
        <f>AVERAGEIF(VSCN_Clean[Supplier],A24,VSCN_Clean[Lead Time (Days)])</f>
        <v>15</v>
      </c>
    </row>
    <row r="25" spans="1:7" x14ac:dyDescent="0.35">
      <c r="A25" t="s">
        <v>91</v>
      </c>
      <c r="B25" s="13">
        <f>COUNTIF(VSCN_Clean[Supplier],A25)</f>
        <v>3</v>
      </c>
      <c r="C25" s="13">
        <f>COUNTIFS(VSCN_Clean[Supplier],A25,VSCN_Clean[Delivery Status],"On Time")</f>
        <v>2</v>
      </c>
      <c r="D25" s="12">
        <f t="shared" si="0"/>
        <v>0.66666666666666663</v>
      </c>
      <c r="E25" s="13">
        <f>COUNTIFS(VSCN_Clean[Supplier],A25,VSCN_Clean[Delivery Status],"Delayed")</f>
        <v>1</v>
      </c>
      <c r="F25" s="5">
        <f>SUMIF(VSCN_Clean[Supplier],A25,VSCN_Clean[Order Value])</f>
        <v>11244</v>
      </c>
      <c r="G25" s="14">
        <f>AVERAGEIF(VSCN_Clean[Supplier],A25,VSCN_Clean[Lead Time (Days)])</f>
        <v>6.666666666666667</v>
      </c>
    </row>
    <row r="26" spans="1:7" x14ac:dyDescent="0.35">
      <c r="A26" t="s">
        <v>24</v>
      </c>
      <c r="B26" s="13">
        <f>COUNTIF(VSCN_Clean[Supplier],A26)</f>
        <v>5</v>
      </c>
      <c r="C26" s="13">
        <f>COUNTIFS(VSCN_Clean[Supplier],A26,VSCN_Clean[Delivery Status],"On Time")</f>
        <v>3</v>
      </c>
      <c r="D26" s="12">
        <f t="shared" si="0"/>
        <v>0.6</v>
      </c>
      <c r="E26" s="13">
        <f>COUNTIFS(VSCN_Clean[Supplier],A26,VSCN_Clean[Delivery Status],"Delayed")</f>
        <v>2</v>
      </c>
      <c r="F26" s="5">
        <f>SUMIF(VSCN_Clean[Supplier],A26,VSCN_Clean[Order Value])</f>
        <v>20176.099999999999</v>
      </c>
      <c r="G26" s="14">
        <f>AVERAGEIF(VSCN_Clean[Supplier],A26,VSCN_Clean[Lead Time (Days)])</f>
        <v>8.8000000000000007</v>
      </c>
    </row>
    <row r="27" spans="1:7" x14ac:dyDescent="0.35">
      <c r="A27" t="s">
        <v>66</v>
      </c>
      <c r="B27" s="13">
        <f>COUNTIF(VSCN_Clean[Supplier],A27)</f>
        <v>4</v>
      </c>
      <c r="C27" s="13">
        <f>COUNTIFS(VSCN_Clean[Supplier],A27,VSCN_Clean[Delivery Status],"On Time")</f>
        <v>4</v>
      </c>
      <c r="D27" s="12">
        <f t="shared" si="0"/>
        <v>1</v>
      </c>
      <c r="E27" s="13">
        <f>COUNTIFS(VSCN_Clean[Supplier],A27,VSCN_Clean[Delivery Status],"Delayed")</f>
        <v>0</v>
      </c>
      <c r="F27" s="5">
        <f>SUMIF(VSCN_Clean[Supplier],A27,VSCN_Clean[Order Value])</f>
        <v>192995</v>
      </c>
      <c r="G27" s="14">
        <f>AVERAGEIF(VSCN_Clean[Supplier],A27,VSCN_Clean[Lead Time (Days)])</f>
        <v>10</v>
      </c>
    </row>
    <row r="28" spans="1:7" x14ac:dyDescent="0.35">
      <c r="A28" t="s">
        <v>34</v>
      </c>
      <c r="B28" s="13">
        <f>COUNTIF(VSCN_Clean[Supplier],A28)</f>
        <v>4</v>
      </c>
      <c r="C28" s="13">
        <f>COUNTIFS(VSCN_Clean[Supplier],A28,VSCN_Clean[Delivery Status],"On Time")</f>
        <v>1</v>
      </c>
      <c r="D28" s="12">
        <f t="shared" si="0"/>
        <v>0.25</v>
      </c>
      <c r="E28" s="13">
        <f>COUNTIFS(VSCN_Clean[Supplier],A28,VSCN_Clean[Delivery Status],"Delayed")</f>
        <v>3</v>
      </c>
      <c r="F28" s="5">
        <f>SUMIF(VSCN_Clean[Supplier],A28,VSCN_Clean[Order Value])</f>
        <v>138826</v>
      </c>
      <c r="G28" s="14">
        <f>AVERAGEIF(VSCN_Clean[Supplier],A28,VSCN_Clean[Lead Time (Days)])</f>
        <v>10</v>
      </c>
    </row>
    <row r="30" spans="1:7" ht="42" customHeight="1" x14ac:dyDescent="0.35">
      <c r="A30" s="17" t="s">
        <v>227</v>
      </c>
      <c r="B30" s="17"/>
      <c r="C30" s="17"/>
      <c r="D30" s="17"/>
      <c r="E30" s="17"/>
      <c r="F30" s="17"/>
      <c r="G30" s="17"/>
    </row>
    <row r="32" spans="1:7" x14ac:dyDescent="0.35">
      <c r="A32" s="15" t="s">
        <v>238</v>
      </c>
      <c r="B32" s="15"/>
      <c r="C32" s="15"/>
      <c r="D32" s="15"/>
      <c r="E32" s="15"/>
      <c r="F32" s="15"/>
      <c r="G32" s="15"/>
    </row>
    <row r="33" spans="1:4" x14ac:dyDescent="0.35">
      <c r="A33" s="9" t="s">
        <v>239</v>
      </c>
      <c r="B33" s="9" t="s">
        <v>240</v>
      </c>
      <c r="C33" s="9" t="s">
        <v>241</v>
      </c>
      <c r="D33" s="9" t="s">
        <v>242</v>
      </c>
    </row>
    <row r="34" spans="1:4" ht="29" x14ac:dyDescent="0.35">
      <c r="A34" t="s">
        <v>228</v>
      </c>
      <c r="B34" s="11" t="s">
        <v>243</v>
      </c>
      <c r="C34" s="11" t="s">
        <v>244</v>
      </c>
      <c r="D34" s="11" t="s">
        <v>245</v>
      </c>
    </row>
    <row r="35" spans="1:4" x14ac:dyDescent="0.35">
      <c r="A35" t="s">
        <v>229</v>
      </c>
      <c r="B35" s="11" t="s">
        <v>246</v>
      </c>
      <c r="C35" s="18">
        <v>36526</v>
      </c>
      <c r="D35" s="11" t="s">
        <v>247</v>
      </c>
    </row>
    <row r="36" spans="1:4" x14ac:dyDescent="0.35">
      <c r="A36" t="s">
        <v>230</v>
      </c>
      <c r="B36" s="11" t="s">
        <v>248</v>
      </c>
      <c r="C36" s="18">
        <v>36526</v>
      </c>
      <c r="D36" s="11" t="s">
        <v>249</v>
      </c>
    </row>
    <row r="37" spans="1:4" ht="29" x14ac:dyDescent="0.35">
      <c r="A37" t="s">
        <v>231</v>
      </c>
      <c r="B37" s="11" t="s">
        <v>250</v>
      </c>
      <c r="C37" s="11" t="s">
        <v>251</v>
      </c>
      <c r="D37" s="11" t="s">
        <v>252</v>
      </c>
    </row>
    <row r="38" spans="1:4" x14ac:dyDescent="0.35">
      <c r="A38" t="s">
        <v>232</v>
      </c>
      <c r="B38" s="11" t="s">
        <v>253</v>
      </c>
      <c r="C38" s="18">
        <v>36526</v>
      </c>
      <c r="D38" s="11" t="s">
        <v>254</v>
      </c>
    </row>
    <row r="39" spans="1:4" ht="29" x14ac:dyDescent="0.35">
      <c r="A39" t="s">
        <v>233</v>
      </c>
      <c r="B39" s="11" t="s">
        <v>255</v>
      </c>
      <c r="C39" s="18">
        <v>36526</v>
      </c>
      <c r="D39" s="11" t="s">
        <v>256</v>
      </c>
    </row>
    <row r="40" spans="1:4" x14ac:dyDescent="0.35">
      <c r="A40" t="s">
        <v>234</v>
      </c>
      <c r="B40" s="11" t="s">
        <v>257</v>
      </c>
      <c r="C40" s="18">
        <v>36526</v>
      </c>
      <c r="D40" s="11" t="s">
        <v>258</v>
      </c>
    </row>
    <row r="41" spans="1:4" x14ac:dyDescent="0.35">
      <c r="A41" t="s">
        <v>235</v>
      </c>
      <c r="B41" s="11" t="s">
        <v>259</v>
      </c>
      <c r="C41" s="11" t="s">
        <v>260</v>
      </c>
      <c r="D41" s="11" t="s">
        <v>261</v>
      </c>
    </row>
    <row r="42" spans="1:4" x14ac:dyDescent="0.35">
      <c r="A42" t="s">
        <v>236</v>
      </c>
      <c r="B42" s="11" t="s">
        <v>262</v>
      </c>
      <c r="C42" s="11" t="s">
        <v>263</v>
      </c>
      <c r="D42" s="11" t="s">
        <v>264</v>
      </c>
    </row>
    <row r="43" spans="1:4" ht="29" x14ac:dyDescent="0.35">
      <c r="A43" t="s">
        <v>237</v>
      </c>
      <c r="B43" s="11" t="s">
        <v>265</v>
      </c>
      <c r="C43" s="11" t="s">
        <v>266</v>
      </c>
      <c r="D43" s="11" t="s">
        <v>267</v>
      </c>
    </row>
  </sheetData>
  <mergeCells count="5">
    <mergeCell ref="A1:G1"/>
    <mergeCell ref="A2:G2"/>
    <mergeCell ref="A17:G17"/>
    <mergeCell ref="A30:G30"/>
    <mergeCell ref="A32:G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73B97-D903-48F8-AC1C-AA58A6DA85E9}">
  <dimension ref="A5:G117"/>
  <sheetViews>
    <sheetView workbookViewId="0"/>
  </sheetViews>
  <sheetFormatPr defaultRowHeight="14.5" x14ac:dyDescent="0.35"/>
  <cols>
    <col min="1" max="1" width="15.1796875" bestFit="1" customWidth="1"/>
    <col min="2" max="2" width="6.36328125" bestFit="1" customWidth="1"/>
    <col min="3" max="3" width="8.90625" bestFit="1" customWidth="1"/>
    <col min="4" max="4" width="13.36328125" bestFit="1" customWidth="1"/>
    <col min="5" max="5" width="15.90625" bestFit="1" customWidth="1"/>
    <col min="6" max="6" width="14.6328125" bestFit="1" customWidth="1"/>
    <col min="7" max="7" width="13.90625" bestFit="1" customWidth="1"/>
  </cols>
  <sheetData>
    <row r="5" spans="1:7" x14ac:dyDescent="0.35">
      <c r="A5" t="s">
        <v>209</v>
      </c>
      <c r="B5" t="s">
        <v>189</v>
      </c>
      <c r="C5" t="s">
        <v>180</v>
      </c>
      <c r="D5" t="s">
        <v>185</v>
      </c>
      <c r="E5" t="s">
        <v>205</v>
      </c>
      <c r="F5" t="s">
        <v>197</v>
      </c>
      <c r="G5" t="s">
        <v>193</v>
      </c>
    </row>
    <row r="6" spans="1:7" x14ac:dyDescent="0.35">
      <c r="A6" s="19">
        <v>30</v>
      </c>
      <c r="B6" s="5">
        <v>1004846.1</v>
      </c>
      <c r="C6" s="12">
        <v>0.6</v>
      </c>
      <c r="D6" s="13">
        <v>12</v>
      </c>
      <c r="E6" s="14">
        <v>9.1</v>
      </c>
      <c r="F6" s="13">
        <v>0</v>
      </c>
      <c r="G6" s="13">
        <v>10</v>
      </c>
    </row>
    <row r="15" spans="1:7" x14ac:dyDescent="0.35">
      <c r="A15" s="20" t="s">
        <v>19</v>
      </c>
      <c r="B15" t="s">
        <v>223</v>
      </c>
    </row>
    <row r="16" spans="1:7" x14ac:dyDescent="0.35">
      <c r="A16" t="s">
        <v>29</v>
      </c>
      <c r="B16" s="19">
        <v>12</v>
      </c>
    </row>
    <row r="17" spans="1:2" x14ac:dyDescent="0.35">
      <c r="A17" t="s">
        <v>37</v>
      </c>
      <c r="B17" s="19">
        <v>18</v>
      </c>
    </row>
    <row r="18" spans="1:2" x14ac:dyDescent="0.35">
      <c r="A18" t="s">
        <v>268</v>
      </c>
      <c r="B18" s="19">
        <v>30</v>
      </c>
    </row>
    <row r="30" spans="1:2" x14ac:dyDescent="0.35">
      <c r="A30" s="20" t="s">
        <v>5</v>
      </c>
      <c r="B30" t="s">
        <v>225</v>
      </c>
    </row>
    <row r="31" spans="1:2" x14ac:dyDescent="0.35">
      <c r="A31" t="s">
        <v>108</v>
      </c>
      <c r="B31" s="12">
        <v>0</v>
      </c>
    </row>
    <row r="32" spans="1:2" x14ac:dyDescent="0.35">
      <c r="A32" t="s">
        <v>62</v>
      </c>
      <c r="B32" s="12">
        <v>1</v>
      </c>
    </row>
    <row r="33" spans="1:2" x14ac:dyDescent="0.35">
      <c r="A33" t="s">
        <v>100</v>
      </c>
      <c r="B33" s="12">
        <v>0.5</v>
      </c>
    </row>
    <row r="34" spans="1:2" x14ac:dyDescent="0.35">
      <c r="A34" t="s">
        <v>57</v>
      </c>
      <c r="B34" s="12">
        <v>0.75</v>
      </c>
    </row>
    <row r="35" spans="1:2" x14ac:dyDescent="0.35">
      <c r="A35" t="s">
        <v>50</v>
      </c>
      <c r="B35" s="12">
        <v>0.33333333333333331</v>
      </c>
    </row>
    <row r="36" spans="1:2" x14ac:dyDescent="0.35">
      <c r="A36" t="s">
        <v>42</v>
      </c>
      <c r="B36" s="12">
        <v>0</v>
      </c>
    </row>
    <row r="37" spans="1:2" x14ac:dyDescent="0.35">
      <c r="A37" t="s">
        <v>91</v>
      </c>
      <c r="B37" s="12">
        <v>0.66666666666666663</v>
      </c>
    </row>
    <row r="38" spans="1:2" x14ac:dyDescent="0.35">
      <c r="A38" t="s">
        <v>24</v>
      </c>
      <c r="B38" s="12">
        <v>0.6</v>
      </c>
    </row>
    <row r="39" spans="1:2" x14ac:dyDescent="0.35">
      <c r="A39" t="s">
        <v>66</v>
      </c>
      <c r="B39" s="12">
        <v>1</v>
      </c>
    </row>
    <row r="40" spans="1:2" x14ac:dyDescent="0.35">
      <c r="A40" t="s">
        <v>34</v>
      </c>
      <c r="B40" s="12">
        <v>0.25</v>
      </c>
    </row>
    <row r="41" spans="1:2" x14ac:dyDescent="0.35">
      <c r="A41" t="s">
        <v>268</v>
      </c>
      <c r="B41" s="13">
        <v>0.6</v>
      </c>
    </row>
    <row r="50" spans="1:2" x14ac:dyDescent="0.35">
      <c r="A50" s="20" t="s">
        <v>4</v>
      </c>
      <c r="B50" t="s">
        <v>13</v>
      </c>
    </row>
    <row r="51" spans="1:2" x14ac:dyDescent="0.35">
      <c r="A51" t="s">
        <v>56</v>
      </c>
      <c r="B51" s="5">
        <v>470670</v>
      </c>
    </row>
    <row r="52" spans="1:2" x14ac:dyDescent="0.35">
      <c r="A52" t="s">
        <v>33</v>
      </c>
      <c r="B52" s="5">
        <v>295680</v>
      </c>
    </row>
    <row r="53" spans="1:2" x14ac:dyDescent="0.35">
      <c r="A53" t="s">
        <v>41</v>
      </c>
      <c r="B53" s="5">
        <v>7276.5</v>
      </c>
    </row>
    <row r="54" spans="1:2" x14ac:dyDescent="0.35">
      <c r="A54" t="s">
        <v>49</v>
      </c>
      <c r="B54" s="5">
        <v>38682</v>
      </c>
    </row>
    <row r="55" spans="1:2" x14ac:dyDescent="0.35">
      <c r="A55" t="s">
        <v>73</v>
      </c>
      <c r="B55" s="5">
        <v>101.6</v>
      </c>
    </row>
    <row r="56" spans="1:2" x14ac:dyDescent="0.35">
      <c r="A56" t="s">
        <v>23</v>
      </c>
      <c r="B56" s="5">
        <v>192436</v>
      </c>
    </row>
    <row r="57" spans="1:2" x14ac:dyDescent="0.35">
      <c r="A57" t="s">
        <v>268</v>
      </c>
      <c r="B57" s="5">
        <v>1004846.1</v>
      </c>
    </row>
    <row r="65" spans="1:2" x14ac:dyDescent="0.35">
      <c r="A65" s="20" t="s">
        <v>231</v>
      </c>
      <c r="B65" t="s">
        <v>223</v>
      </c>
    </row>
    <row r="66" spans="1:2" x14ac:dyDescent="0.35">
      <c r="A66" t="s">
        <v>269</v>
      </c>
      <c r="B66" s="19">
        <v>20</v>
      </c>
    </row>
    <row r="67" spans="1:2" x14ac:dyDescent="0.35">
      <c r="A67" t="s">
        <v>270</v>
      </c>
      <c r="B67" s="19">
        <v>10</v>
      </c>
    </row>
    <row r="68" spans="1:2" x14ac:dyDescent="0.35">
      <c r="A68" t="s">
        <v>268</v>
      </c>
      <c r="B68" s="19">
        <v>30</v>
      </c>
    </row>
    <row r="80" spans="1:2" x14ac:dyDescent="0.35">
      <c r="A80" s="20" t="s">
        <v>10</v>
      </c>
      <c r="B80" t="s">
        <v>13</v>
      </c>
    </row>
    <row r="81" spans="1:2" x14ac:dyDescent="0.35">
      <c r="A81" t="s">
        <v>28</v>
      </c>
      <c r="B81" s="5">
        <v>230683.6</v>
      </c>
    </row>
    <row r="82" spans="1:2" x14ac:dyDescent="0.35">
      <c r="A82" t="s">
        <v>69</v>
      </c>
      <c r="B82" s="5">
        <v>400052</v>
      </c>
    </row>
    <row r="83" spans="1:2" x14ac:dyDescent="0.35">
      <c r="A83" t="s">
        <v>52</v>
      </c>
      <c r="B83" s="5">
        <v>186186.5</v>
      </c>
    </row>
    <row r="84" spans="1:2" x14ac:dyDescent="0.35">
      <c r="A84" t="s">
        <v>36</v>
      </c>
      <c r="B84" s="5">
        <v>187924</v>
      </c>
    </row>
    <row r="85" spans="1:2" x14ac:dyDescent="0.35">
      <c r="A85" t="s">
        <v>268</v>
      </c>
      <c r="B85" s="5">
        <v>1004846.1</v>
      </c>
    </row>
    <row r="95" spans="1:2" x14ac:dyDescent="0.35">
      <c r="A95" s="20" t="s">
        <v>8</v>
      </c>
      <c r="B95" t="s">
        <v>225</v>
      </c>
    </row>
    <row r="96" spans="1:2" x14ac:dyDescent="0.35">
      <c r="A96" t="s">
        <v>25</v>
      </c>
      <c r="B96" s="12">
        <v>0.75</v>
      </c>
    </row>
    <row r="97" spans="1:3" x14ac:dyDescent="0.35">
      <c r="A97" t="s">
        <v>86</v>
      </c>
      <c r="B97" s="12">
        <v>1</v>
      </c>
    </row>
    <row r="98" spans="1:3" x14ac:dyDescent="0.35">
      <c r="A98" t="s">
        <v>35</v>
      </c>
      <c r="B98" s="12">
        <v>0.625</v>
      </c>
    </row>
    <row r="99" spans="1:3" x14ac:dyDescent="0.35">
      <c r="A99" t="s">
        <v>44</v>
      </c>
      <c r="B99" s="12">
        <v>0.6</v>
      </c>
    </row>
    <row r="100" spans="1:3" x14ac:dyDescent="0.35">
      <c r="A100" t="s">
        <v>26</v>
      </c>
      <c r="B100" s="12">
        <v>0.45454545454545453</v>
      </c>
    </row>
    <row r="101" spans="1:3" x14ac:dyDescent="0.35">
      <c r="A101" t="s">
        <v>268</v>
      </c>
      <c r="B101" s="13">
        <v>0.6</v>
      </c>
    </row>
    <row r="110" spans="1:3" x14ac:dyDescent="0.35">
      <c r="A110" s="20" t="s">
        <v>9</v>
      </c>
      <c r="B110" t="s">
        <v>225</v>
      </c>
      <c r="C110" t="s">
        <v>270</v>
      </c>
    </row>
    <row r="111" spans="1:3" x14ac:dyDescent="0.35">
      <c r="A111" t="s">
        <v>45</v>
      </c>
      <c r="B111" s="12">
        <v>0.6</v>
      </c>
      <c r="C111" s="13">
        <v>4</v>
      </c>
    </row>
    <row r="112" spans="1:3" x14ac:dyDescent="0.35">
      <c r="A112" t="s">
        <v>58</v>
      </c>
      <c r="B112" s="12">
        <v>0.5</v>
      </c>
      <c r="C112" s="13">
        <v>3</v>
      </c>
    </row>
    <row r="113" spans="1:3" x14ac:dyDescent="0.35">
      <c r="A113" t="s">
        <v>27</v>
      </c>
      <c r="B113" s="12">
        <v>0.8</v>
      </c>
      <c r="C113" s="13">
        <v>0</v>
      </c>
    </row>
    <row r="114" spans="1:3" x14ac:dyDescent="0.35">
      <c r="A114" t="s">
        <v>63</v>
      </c>
      <c r="B114" s="12">
        <v>0.25</v>
      </c>
      <c r="C114" s="13">
        <v>1</v>
      </c>
    </row>
    <row r="115" spans="1:3" x14ac:dyDescent="0.35">
      <c r="A115" t="s">
        <v>74</v>
      </c>
      <c r="B115" s="12">
        <v>0.66666666666666663</v>
      </c>
      <c r="C115" s="13">
        <v>1</v>
      </c>
    </row>
    <row r="116" spans="1:3" x14ac:dyDescent="0.35">
      <c r="A116" t="s">
        <v>68</v>
      </c>
      <c r="B116" s="12">
        <v>0.75</v>
      </c>
      <c r="C116" s="13">
        <v>1</v>
      </c>
    </row>
    <row r="117" spans="1:3" x14ac:dyDescent="0.35">
      <c r="A117" t="s">
        <v>268</v>
      </c>
      <c r="B117" s="13">
        <v>0.6</v>
      </c>
      <c r="C117" s="13">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A18F2-F30D-4ED2-B650-05D72BAB3DE7}">
  <dimension ref="A1:X44"/>
  <sheetViews>
    <sheetView showGridLines="0" zoomScale="55" zoomScaleNormal="55" workbookViewId="0">
      <selection activeCell="AA16" sqref="AA16"/>
    </sheetView>
  </sheetViews>
  <sheetFormatPr defaultRowHeight="14.5" x14ac:dyDescent="0.35"/>
  <cols>
    <col min="1" max="24" width="7.6328125" customWidth="1"/>
  </cols>
  <sheetData>
    <row r="1" spans="1:24" s="21" customFormat="1" ht="34" customHeight="1" x14ac:dyDescent="0.35">
      <c r="A1" s="21" t="s">
        <v>271</v>
      </c>
    </row>
    <row r="2" spans="1:24" s="21" customFormat="1" ht="24" customHeight="1" x14ac:dyDescent="0.35"/>
    <row r="3" spans="1:24" ht="24" customHeight="1" x14ac:dyDescent="0.5">
      <c r="A3" s="22" t="s">
        <v>272</v>
      </c>
      <c r="B3" s="22"/>
      <c r="C3" s="22"/>
      <c r="D3" s="22"/>
      <c r="E3" s="22"/>
      <c r="F3" s="22"/>
      <c r="G3" s="22"/>
      <c r="H3" s="22"/>
      <c r="I3" s="22"/>
      <c r="J3" s="22"/>
      <c r="K3" s="22"/>
      <c r="L3" s="22"/>
      <c r="M3" s="22"/>
      <c r="N3" s="22"/>
      <c r="O3" s="22"/>
      <c r="P3" s="22"/>
      <c r="Q3" s="22"/>
      <c r="R3" s="22"/>
      <c r="S3" s="22"/>
      <c r="T3" s="22"/>
      <c r="U3" s="22"/>
      <c r="V3" s="22"/>
      <c r="W3" s="22"/>
      <c r="X3" s="22"/>
    </row>
    <row r="5" spans="1:24" ht="22" customHeight="1" x14ac:dyDescent="0.35">
      <c r="A5" s="25" t="s">
        <v>209</v>
      </c>
      <c r="B5" s="25"/>
      <c r="C5" s="25"/>
      <c r="D5" s="25"/>
      <c r="E5" s="27" t="s">
        <v>189</v>
      </c>
      <c r="F5" s="27"/>
      <c r="G5" s="27"/>
      <c r="H5" s="27"/>
      <c r="I5" s="30" t="s">
        <v>180</v>
      </c>
      <c r="J5" s="30"/>
      <c r="K5" s="30"/>
      <c r="L5" s="30"/>
      <c r="M5" s="33" t="s">
        <v>185</v>
      </c>
      <c r="N5" s="33"/>
      <c r="O5" s="33"/>
      <c r="P5" s="33"/>
      <c r="Q5" s="35" t="s">
        <v>205</v>
      </c>
      <c r="R5" s="35"/>
      <c r="S5" s="35"/>
      <c r="T5" s="35"/>
      <c r="U5" s="38" t="s">
        <v>278</v>
      </c>
      <c r="V5" s="38"/>
      <c r="W5" s="38"/>
      <c r="X5" s="38"/>
    </row>
    <row r="6" spans="1:24" ht="22" customHeight="1" x14ac:dyDescent="0.35">
      <c r="A6" s="26">
        <f>'Dashboard Pivots'!A6</f>
        <v>30</v>
      </c>
      <c r="B6" s="26"/>
      <c r="C6" s="26"/>
      <c r="D6" s="26"/>
      <c r="E6" s="28">
        <f>'Dashboard Pivots'!B6</f>
        <v>1004846.1</v>
      </c>
      <c r="F6" s="29"/>
      <c r="G6" s="29"/>
      <c r="H6" s="29"/>
      <c r="I6" s="31">
        <f>'Dashboard Pivots'!C6</f>
        <v>0.6</v>
      </c>
      <c r="J6" s="32"/>
      <c r="K6" s="32"/>
      <c r="L6" s="32"/>
      <c r="M6" s="34">
        <f>'Dashboard Pivots'!D6</f>
        <v>12</v>
      </c>
      <c r="N6" s="34"/>
      <c r="O6" s="34"/>
      <c r="P6" s="34"/>
      <c r="Q6" s="36">
        <f>'Dashboard Pivots'!E6</f>
        <v>9.1</v>
      </c>
      <c r="R6" s="37"/>
      <c r="S6" s="37"/>
      <c r="T6" s="37"/>
      <c r="U6" s="39" t="str">
        <f>'Dashboard Pivots'!F6&amp;" / "&amp;'Dashboard Pivots'!G6</f>
        <v>0 / 10</v>
      </c>
      <c r="V6" s="39"/>
      <c r="W6" s="39"/>
      <c r="X6" s="39"/>
    </row>
    <row r="7" spans="1:24" ht="22" customHeight="1" x14ac:dyDescent="0.35">
      <c r="A7" s="26"/>
      <c r="B7" s="26"/>
      <c r="C7" s="26"/>
      <c r="D7" s="26"/>
      <c r="E7" s="29"/>
      <c r="F7" s="29"/>
      <c r="G7" s="29"/>
      <c r="H7" s="29"/>
      <c r="I7" s="32"/>
      <c r="J7" s="32"/>
      <c r="K7" s="32"/>
      <c r="L7" s="32"/>
      <c r="M7" s="34"/>
      <c r="N7" s="34"/>
      <c r="O7" s="34"/>
      <c r="P7" s="34"/>
      <c r="Q7" s="37"/>
      <c r="R7" s="37"/>
      <c r="S7" s="37"/>
      <c r="T7" s="37"/>
      <c r="U7" s="39"/>
      <c r="V7" s="39"/>
      <c r="W7" s="39"/>
      <c r="X7" s="39"/>
    </row>
    <row r="8" spans="1:24" ht="22" customHeight="1" x14ac:dyDescent="0.35">
      <c r="A8" s="23" t="s">
        <v>273</v>
      </c>
      <c r="B8" s="23"/>
      <c r="C8" s="23"/>
      <c r="D8" s="23"/>
      <c r="E8" s="23" t="s">
        <v>274</v>
      </c>
      <c r="F8" s="23"/>
      <c r="G8" s="23"/>
      <c r="H8" s="23"/>
      <c r="I8" s="23" t="s">
        <v>275</v>
      </c>
      <c r="J8" s="23"/>
      <c r="K8" s="23"/>
      <c r="L8" s="23"/>
      <c r="M8" s="24" t="s">
        <v>276</v>
      </c>
      <c r="N8" s="24"/>
      <c r="O8" s="24"/>
      <c r="P8" s="24"/>
      <c r="Q8" s="24" t="s">
        <v>277</v>
      </c>
      <c r="R8" s="24"/>
      <c r="S8" s="24"/>
      <c r="T8" s="24"/>
      <c r="U8" s="24" t="s">
        <v>279</v>
      </c>
      <c r="V8" s="24"/>
      <c r="W8" s="24"/>
      <c r="X8" s="24"/>
    </row>
    <row r="10" spans="1:24" ht="22" customHeight="1" x14ac:dyDescent="0.35">
      <c r="A10" s="6" t="s">
        <v>280</v>
      </c>
      <c r="B10" s="6"/>
      <c r="C10" s="6"/>
      <c r="D10" s="6"/>
      <c r="E10" s="6"/>
      <c r="F10" s="6"/>
      <c r="G10" s="6"/>
      <c r="H10" s="6"/>
      <c r="I10" s="6"/>
      <c r="J10" s="6"/>
      <c r="K10" s="6"/>
      <c r="L10" s="6"/>
      <c r="M10" s="6"/>
      <c r="N10" s="6"/>
      <c r="O10" s="6"/>
      <c r="P10" s="6"/>
      <c r="Q10" s="6"/>
      <c r="R10" s="6"/>
      <c r="S10" s="6"/>
      <c r="T10" s="6"/>
      <c r="U10" s="6"/>
      <c r="V10" s="6"/>
      <c r="W10" s="6"/>
      <c r="X10" s="6"/>
    </row>
    <row r="27" spans="1:24" ht="22" customHeight="1" x14ac:dyDescent="0.35">
      <c r="A27" s="6" t="s">
        <v>281</v>
      </c>
      <c r="B27" s="6"/>
      <c r="C27" s="6"/>
      <c r="D27" s="6"/>
      <c r="E27" s="6"/>
      <c r="F27" s="6"/>
      <c r="G27" s="6"/>
      <c r="H27" s="6"/>
      <c r="I27" s="6"/>
      <c r="J27" s="6"/>
      <c r="K27" s="6"/>
      <c r="L27" s="6"/>
      <c r="M27" s="6"/>
      <c r="N27" s="6"/>
      <c r="O27" s="6"/>
      <c r="P27" s="6"/>
      <c r="Q27" s="6"/>
      <c r="R27" s="6"/>
      <c r="S27" s="6"/>
      <c r="T27" s="6"/>
      <c r="U27" s="6"/>
      <c r="V27" s="6"/>
      <c r="W27" s="6"/>
      <c r="X27" s="6"/>
    </row>
    <row r="44" spans="1:24" ht="22" customHeight="1" x14ac:dyDescent="0.35">
      <c r="A44" s="6" t="s">
        <v>282</v>
      </c>
      <c r="B44" s="6"/>
      <c r="C44" s="6"/>
      <c r="D44" s="6"/>
      <c r="E44" s="6"/>
      <c r="F44" s="6"/>
      <c r="G44" s="6"/>
      <c r="H44" s="6"/>
      <c r="I44" s="6"/>
      <c r="J44" s="6"/>
      <c r="K44" s="6"/>
      <c r="L44" s="6"/>
      <c r="M44" s="6"/>
      <c r="N44" s="6"/>
      <c r="O44" s="6"/>
      <c r="P44" s="6"/>
      <c r="Q44" s="6"/>
      <c r="R44" s="6"/>
      <c r="S44" s="6"/>
      <c r="T44" s="6"/>
      <c r="U44" s="6"/>
      <c r="V44" s="6"/>
      <c r="W44" s="6"/>
      <c r="X44" s="6"/>
    </row>
  </sheetData>
  <mergeCells count="23">
    <mergeCell ref="A1:XFD2"/>
    <mergeCell ref="U5:X5"/>
    <mergeCell ref="U6:X7"/>
    <mergeCell ref="U8:X8"/>
    <mergeCell ref="A10:X10"/>
    <mergeCell ref="A27:X27"/>
    <mergeCell ref="A44:X44"/>
    <mergeCell ref="I8:L8"/>
    <mergeCell ref="M5:P5"/>
    <mergeCell ref="M6:P7"/>
    <mergeCell ref="M8:P8"/>
    <mergeCell ref="Q5:T5"/>
    <mergeCell ref="Q6:T7"/>
    <mergeCell ref="Q8:T8"/>
    <mergeCell ref="A3:X3"/>
    <mergeCell ref="A5:D5"/>
    <mergeCell ref="A6:D7"/>
    <mergeCell ref="A8:D8"/>
    <mergeCell ref="E5:H5"/>
    <mergeCell ref="E6:H7"/>
    <mergeCell ref="E8:H8"/>
    <mergeCell ref="I5:L5"/>
    <mergeCell ref="I6: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Clean Data</vt:lpstr>
      <vt:lpstr>Data Quality Audit</vt:lpstr>
      <vt:lpstr>KPI Framework</vt:lpstr>
      <vt:lpstr>Dashboard Pivots</vt:lpstr>
      <vt:lpstr>Executive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 w</dc:creator>
  <cp:lastModifiedBy>Vinod w</cp:lastModifiedBy>
  <dcterms:created xsi:type="dcterms:W3CDTF">2026-08-30T13:58:35Z</dcterms:created>
  <dcterms:modified xsi:type="dcterms:W3CDTF">2026-08-31T18:28:06Z</dcterms:modified>
</cp:coreProperties>
</file>