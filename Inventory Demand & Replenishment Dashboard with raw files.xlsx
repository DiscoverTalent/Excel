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rawfiles on github\"/>
    </mc:Choice>
  </mc:AlternateContent>
  <xr:revisionPtr revIDLastSave="0" documentId="8_{5740472F-4BE6-483F-861C-BB8A6C80ED20}" xr6:coauthVersionLast="47" xr6:coauthVersionMax="47" xr10:uidLastSave="{00000000-0000-0000-0000-000000000000}"/>
  <bookViews>
    <workbookView xWindow="-110" yWindow="-110" windowWidth="19420" windowHeight="11500" xr2:uid="{F5A7927C-ADAA-4AE9-8161-DCDD2B3AE389}"/>
  </bookViews>
  <sheets>
    <sheet name="Dashboard" sheetId="2" r:id="rId1"/>
    <sheet name="Inventory Data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2" l="1"/>
  <c r="G37" i="2" a="1"/>
  <c r="F37" i="2" a="1"/>
  <c r="E37" i="2" a="1"/>
  <c r="H37" i="2" s="1"/>
  <c r="D37" i="2"/>
  <c r="C37" i="2"/>
  <c r="B37" i="2"/>
  <c r="G36" i="2" a="1"/>
  <c r="F36" i="2" a="1"/>
  <c r="E36" i="2" a="1"/>
  <c r="H36" i="2" s="1"/>
  <c r="D36" i="2"/>
  <c r="C36" i="2"/>
  <c r="B36" i="2"/>
  <c r="G35" i="2" a="1"/>
  <c r="F35" i="2" a="1"/>
  <c r="E35" i="2" a="1"/>
  <c r="H35" i="2" s="1"/>
  <c r="D35" i="2"/>
  <c r="C35" i="2"/>
  <c r="B35" i="2"/>
  <c r="G34" i="2" a="1"/>
  <c r="F34" i="2" a="1"/>
  <c r="E34" i="2" a="1"/>
  <c r="H34" i="2" s="1"/>
  <c r="D34" i="2"/>
  <c r="C34" i="2"/>
  <c r="B34" i="2"/>
  <c r="B33" i="2"/>
  <c r="C33" i="2"/>
  <c r="D33" i="2"/>
  <c r="E33" i="2" a="1"/>
  <c r="H33" i="2" s="1"/>
  <c r="F33" i="2" a="1"/>
  <c r="G33" i="2" a="1"/>
  <c r="J21" i="1" a="1"/>
  <c r="J20" i="1" a="1"/>
  <c r="J19" i="1" a="1"/>
  <c r="J18" i="1" a="1"/>
  <c r="J17" i="1" a="1"/>
  <c r="J16" i="1" a="1"/>
  <c r="J15" i="1" a="1"/>
  <c r="J14" i="1" a="1"/>
  <c r="J13" i="1" a="1"/>
  <c r="J12" i="1" a="1"/>
  <c r="J11" i="1" a="1"/>
  <c r="J10" i="1" a="1"/>
  <c r="J9" i="1" a="1"/>
  <c r="J8" i="1" a="1"/>
  <c r="J7" i="1" a="1"/>
  <c r="J6" i="1" a="1"/>
  <c r="J5" i="1" a="1"/>
  <c r="J4" i="1" a="1"/>
  <c r="J3" i="1" a="1"/>
  <c r="J2" i="1" a="1"/>
  <c r="I37" i="2" l="1"/>
  <c r="L37" i="2" s="1"/>
  <c r="M37" i="2" s="1"/>
  <c r="J37" i="2"/>
  <c r="K37" i="2"/>
  <c r="I36" i="2"/>
  <c r="L36" i="2" s="1"/>
  <c r="M36" i="2" s="1"/>
  <c r="K36" i="2"/>
  <c r="J36" i="2"/>
  <c r="I35" i="2"/>
  <c r="L35" i="2" s="1"/>
  <c r="M35" i="2" s="1"/>
  <c r="K35" i="2"/>
  <c r="J35" i="2"/>
  <c r="I34" i="2"/>
  <c r="L34" i="2"/>
  <c r="M34" i="2" s="1"/>
  <c r="K34" i="2"/>
  <c r="J34" i="2"/>
  <c r="J33" i="2"/>
  <c r="K33" i="2"/>
  <c r="G5" i="2" s="1"/>
  <c r="A5" i="2"/>
  <c r="D5" i="2"/>
  <c r="I33" i="2"/>
  <c r="L33" i="2" s="1"/>
  <c r="M33" i="2" s="1"/>
  <c r="J5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<sst xmlns="http://schemas.openxmlformats.org/spreadsheetml/2006/main" count="142" uniqueCount="58">
  <si>
    <t>Month</t>
  </si>
  <si>
    <t>SKU</t>
  </si>
  <si>
    <t>Product</t>
  </si>
  <si>
    <t>Warehouse</t>
  </si>
  <si>
    <t>Opening Stock</t>
  </si>
  <si>
    <t>Sales</t>
  </si>
  <si>
    <t>Lead Time (Days)</t>
  </si>
  <si>
    <t>Supplier</t>
  </si>
  <si>
    <t>Unit Cost</t>
  </si>
  <si>
    <t>Jan</t>
  </si>
  <si>
    <t>SKU001</t>
  </si>
  <si>
    <t>Laptop</t>
  </si>
  <si>
    <t>Mumbai</t>
  </si>
  <si>
    <t>Dell</t>
  </si>
  <si>
    <t>Feb</t>
  </si>
  <si>
    <t>Mar</t>
  </si>
  <si>
    <t>Apr</t>
  </si>
  <si>
    <t>SKU002</t>
  </si>
  <si>
    <t>Keyboard</t>
  </si>
  <si>
    <t>Pune</t>
  </si>
  <si>
    <t>Logitech</t>
  </si>
  <si>
    <t>SKU003</t>
  </si>
  <si>
    <t>Mouse</t>
  </si>
  <si>
    <t>Chennai</t>
  </si>
  <si>
    <t>HP</t>
  </si>
  <si>
    <t>SKU004</t>
  </si>
  <si>
    <t>Monitor</t>
  </si>
  <si>
    <t>Delhi</t>
  </si>
  <si>
    <t>LG</t>
  </si>
  <si>
    <t>SKU005</t>
  </si>
  <si>
    <t>Printer</t>
  </si>
  <si>
    <t>Bengaluru</t>
  </si>
  <si>
    <t>Canon</t>
  </si>
  <si>
    <t>Month Index</t>
  </si>
  <si>
    <t>Inventory Demand &amp; Replenishment Dashboard</t>
  </si>
  <si>
    <t>May–July forecast based on Jan–Apr sales trends | Safety stock reflects supplier lead time</t>
  </si>
  <si>
    <t>STORY IN BRIEF</t>
  </si>
  <si>
    <t>DEMAND FORECAST BY SKU</t>
  </si>
  <si>
    <t>RECOMMENDED REORDER QUANTITY</t>
  </si>
  <si>
    <t>SKU FORECAST &amp; REPLENISHMENT PLAN</t>
  </si>
  <si>
    <t>CURRENT AVAILABLE UNITS</t>
  </si>
  <si>
    <t>After April sales</t>
  </si>
  <si>
    <t>NEXT 3-MONTH DEMAND</t>
  </si>
  <si>
    <t>May–July forecast</t>
  </si>
  <si>
    <t>HIGH-RISK SKUS</t>
  </si>
  <si>
    <t>Critical or high risk</t>
  </si>
  <si>
    <t>REORDER VALUE</t>
  </si>
  <si>
    <t>Estimated purchase cost</t>
  </si>
  <si>
    <t>Current Inventory</t>
  </si>
  <si>
    <t>May Forecast</t>
  </si>
  <si>
    <t>Jun Forecast</t>
  </si>
  <si>
    <t>Jul Forecast</t>
  </si>
  <si>
    <t>3M Demand</t>
  </si>
  <si>
    <t>Safety Stock</t>
  </si>
  <si>
    <t>Projected Ending</t>
  </si>
  <si>
    <t>Risk</t>
  </si>
  <si>
    <t>Reorder Qty</t>
  </si>
  <si>
    <t>Reorder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</si>
</sst>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₹#,##0"/>
  </numFmts>
  <fonts count="13" x14ac:knownFonts="1">
    <font>
      <sz val="11"/>
      <color theme="1"/>
      <name val="Aptos Narrow"/>
      <family val="2"/>
      <scheme val="minor"/>
    </font>
    <font>
      <b/>
      <sz val="11"/>
      <color rgb="FFFFFFFF"/>
      <name val="Aptos"/>
      <family val="2"/>
    </font>
    <font>
      <b/>
      <sz val="18"/>
      <color rgb="FF262626"/>
      <name val="Aptos"/>
      <family val="2"/>
    </font>
    <font>
      <sz val="11"/>
      <color rgb="FF262626"/>
      <name val="Aptos"/>
      <family val="2"/>
    </font>
    <font>
      <b/>
      <sz val="18"/>
      <color rgb="FFFFFFFF"/>
      <name val="Aptos"/>
      <family val="2"/>
    </font>
    <font>
      <b/>
      <i/>
      <sz val="10"/>
      <color rgb="FFFFFFFF"/>
      <name val="Aptos"/>
      <family val="2"/>
    </font>
    <font>
      <b/>
      <sz val="11"/>
      <color rgb="FF001F43"/>
      <name val="Aptos"/>
      <family val="2"/>
    </font>
    <font>
      <sz val="9"/>
      <color rgb="FF595959"/>
      <name val="Aptos"/>
      <family val="2"/>
    </font>
    <font>
      <b/>
      <sz val="11"/>
      <color rgb="FFC50F1F"/>
      <name val="Aptos"/>
      <family val="2"/>
    </font>
    <font>
      <b/>
      <sz val="18"/>
      <color rgb="FFC50F1F"/>
      <name val="Aptos"/>
      <family val="2"/>
    </font>
    <font>
      <b/>
      <sz val="11"/>
      <color rgb="FF000000"/>
      <name val="Aptos"/>
      <family val="2"/>
    </font>
    <font>
      <b/>
      <sz val="18"/>
      <color rgb="FF000000"/>
      <name val="Aptos"/>
      <family val="2"/>
    </font>
    <font>
      <sz val="9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1F43"/>
        <bgColor indexed="64"/>
      </patternFill>
    </fill>
    <fill>
      <patternFill patternType="solid">
        <fgColor rgb="FFF2F6FF"/>
        <bgColor indexed="64"/>
      </patternFill>
    </fill>
    <fill>
      <patternFill patternType="solid">
        <fgColor rgb="FFB9D5F3"/>
        <bgColor indexed="64"/>
      </patternFill>
    </fill>
    <fill>
      <patternFill patternType="solid">
        <fgColor rgb="FFABBAD6"/>
        <bgColor indexed="64"/>
      </patternFill>
    </fill>
    <fill>
      <patternFill patternType="solid">
        <fgColor rgb="FFE5D0A4"/>
        <bgColor indexed="64"/>
      </patternFill>
    </fill>
    <fill>
      <patternFill patternType="solid">
        <fgColor rgb="FFF8F8F8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medium">
        <color rgb="FF001F4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right"/>
    </xf>
    <xf numFmtId="0" fontId="6" fillId="4" borderId="9" xfId="0" applyFont="1" applyFill="1" applyBorder="1" applyAlignment="1">
      <alignment horizontal="center" wrapText="1"/>
    </xf>
    <xf numFmtId="0" fontId="3" fillId="8" borderId="0" xfId="0" applyFont="1" applyFill="1" applyAlignment="1">
      <alignment horizontal="left"/>
    </xf>
    <xf numFmtId="3" fontId="3" fillId="8" borderId="0" xfId="0" applyNumberFormat="1" applyFont="1" applyFill="1" applyAlignment="1">
      <alignment horizontal="right"/>
    </xf>
    <xf numFmtId="3" fontId="3" fillId="8" borderId="0" xfId="0" applyNumberFormat="1" applyFont="1" applyFill="1" applyAlignment="1">
      <alignment horizontal="center"/>
    </xf>
    <xf numFmtId="164" fontId="3" fillId="8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 vertical="center" wrapText="1"/>
    </xf>
    <xf numFmtId="164" fontId="3" fillId="2" borderId="0" xfId="0" applyNumberFormat="1" applyFont="1" applyFill="1" applyAlignment="1">
      <alignment horizontal="right" vertical="center" wrapText="1"/>
    </xf>
    <xf numFmtId="1" fontId="3" fillId="2" borderId="0" xfId="0" applyNumberFormat="1" applyFont="1" applyFill="1" applyAlignment="1">
      <alignment horizontal="right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right" vertical="center" wrapText="1"/>
    </xf>
    <xf numFmtId="0" fontId="3" fillId="8" borderId="0" xfId="0" applyFont="1" applyFill="1" applyAlignment="1">
      <alignment vertical="center" wrapText="1"/>
    </xf>
    <xf numFmtId="3" fontId="3" fillId="8" borderId="0" xfId="0" applyNumberFormat="1" applyFont="1" applyFill="1" applyAlignment="1">
      <alignment horizontal="right" vertical="center" wrapText="1"/>
    </xf>
    <xf numFmtId="164" fontId="3" fillId="8" borderId="0" xfId="0" applyNumberFormat="1" applyFont="1" applyFill="1" applyAlignment="1">
      <alignment horizontal="right" vertical="center" wrapText="1"/>
    </xf>
    <xf numFmtId="1" fontId="3" fillId="8" borderId="0" xfId="0" applyNumberFormat="1" applyFont="1" applyFill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0" xfId="0" applyFont="1" applyFill="1"/>
    <xf numFmtId="0" fontId="6" fillId="4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3" fontId="2" fillId="4" borderId="4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" fontId="9" fillId="4" borderId="4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6" fillId="6" borderId="0" xfId="0" applyFont="1" applyFill="1"/>
    <xf numFmtId="0" fontId="6" fillId="7" borderId="0" xfId="0" applyFont="1" applyFill="1"/>
    <xf numFmtId="0" fontId="10" fillId="4" borderId="3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164" fontId="11" fillId="4" borderId="4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</cellXfs>
  <cellStyles count="1">
    <cellStyle name="Normal" xfId="0" builtinId="0"/>
  </cellStyles>
  <dxfs count="35"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9C5700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262626"/>
        <name val="Aptos"/>
      </font>
      <numFmt numFmtId="1" formatCode="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color rgb="FF262626"/>
        <name val="Aptos"/>
      </font>
      <numFmt numFmtId="164" formatCode="\₹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color rgb="FF262626"/>
        <name val="Aptos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color rgb="FF262626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color rgb="FF262626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color rgb="FF262626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color rgb="FF262626"/>
        <name val="Aptos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color rgb="FF262626"/>
        <name val="Aptos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color rgb="FF262626"/>
        <name val="Aptos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color rgb="FF262626"/>
        <name val="Aptos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262626"/>
        <name val="Aptos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border>
        <bottom style="medium">
          <color rgb="FF001F4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1F43"/>
        <name val="Aptos"/>
        <scheme val="minor"/>
      </font>
      <fill>
        <patternFill patternType="solid">
          <fgColor indexed="64"/>
          <bgColor rgb="FFB9D5F3"/>
        </patternFill>
      </fill>
      <alignment horizontal="right" vertical="center" textRotation="0" wrapText="1" indent="0" justifyLastLine="0" shrinkToFit="0" readingOrder="0"/>
    </dxf>
    <dxf>
      <font>
        <color rgb="FF262626"/>
        <name val="Aptos"/>
      </font>
      <numFmt numFmtId="164" formatCode="\₹#,##0"/>
      <fill>
        <patternFill patternType="solid">
          <fgColor indexed="64"/>
          <bgColor rgb="FFFFFFFF"/>
        </patternFill>
      </fill>
      <alignment horizontal="right"/>
    </dxf>
    <dxf>
      <font>
        <color rgb="FF262626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color rgb="FF262626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center"/>
    </dxf>
    <dxf>
      <font>
        <color rgb="FF262626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color rgb="FF262626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color rgb="FF262626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color rgb="FF262626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color rgb="FF262626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color rgb="FF262626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color rgb="FF262626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color rgb="FF262626"/>
        <name val="Aptos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color rgb="FF262626"/>
        <name val="Aptos"/>
      </font>
      <fill>
        <patternFill patternType="solid">
          <fgColor indexed="64"/>
          <bgColor rgb="FFFFFFFF"/>
        </patternFill>
      </fill>
      <alignment horizontal="left"/>
    </dxf>
    <dxf>
      <font>
        <color rgb="FF262626"/>
        <name val="Aptos"/>
      </font>
      <fill>
        <patternFill patternType="solid">
          <fgColor indexed="64"/>
          <bgColor rgb="FFFFFFFF"/>
        </patternFill>
      </fill>
      <alignment horizontal="left"/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262626"/>
        <name val="Aptos"/>
      </font>
      <fill>
        <patternFill patternType="solid">
          <fgColor indexed="64"/>
          <bgColor rgb="FFFFFFFF"/>
        </patternFill>
      </fill>
    </dxf>
    <dxf>
      <border>
        <bottom style="medium">
          <color rgb="FF001F43"/>
        </bottom>
      </border>
    </dxf>
    <dxf>
      <font>
        <b/>
        <color rgb="FF001F43"/>
        <name val="Aptos"/>
      </font>
      <fill>
        <patternFill patternType="solid">
          <fgColor indexed="64"/>
          <bgColor rgb="FFF2F6FF"/>
        </patternFill>
      </fill>
      <alignment horizontal="center" wrapText="1"/>
    </dxf>
  </dxfs>
  <tableStyles count="1" defaultTableStyle="TableStyleMedium2" defaultPivotStyle="PivotStyleLight16">
    <tableStyle name="Invisible" pivot="0" table="0" count="0" xr9:uid="{78DFC525-2614-41A8-B406-7C0BC77BE9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Demand Forecast by SKU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26262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Dashboard!$E$32</c:f>
              <c:strCache>
                <c:ptCount val="1"/>
                <c:pt idx="0">
                  <c:v>May Forecast</c:v>
                </c:pt>
              </c:strCache>
            </c:strRef>
          </c:tx>
          <c:spPr>
            <a:solidFill>
              <a:srgbClr val="2E5299"/>
            </a:solidFill>
            <a:ln>
              <a:noFill/>
            </a:ln>
            <a:effectLst/>
          </c:spPr>
          <c:invertIfNegative val="0"/>
          <c:cat>
            <c:strRef>
              <c:f>Dashboard!$A$33:$A$37</c:f>
              <c:strCache>
                <c:ptCount val="5"/>
                <c:pt idx="0">
                  <c:v>SKU001</c:v>
                </c:pt>
                <c:pt idx="1">
                  <c:v>SKU002</c:v>
                </c:pt>
                <c:pt idx="2">
                  <c:v>SKU003</c:v>
                </c:pt>
                <c:pt idx="3">
                  <c:v>SKU004</c:v>
                </c:pt>
                <c:pt idx="4">
                  <c:v>SKU005</c:v>
                </c:pt>
              </c:strCache>
            </c:strRef>
          </c:cat>
          <c:val>
            <c:numRef>
              <c:f>Dashboard!$E$33:$E$37</c:f>
              <c:numCache>
                <c:formatCode>#,##0</c:formatCode>
                <c:ptCount val="5"/>
                <c:pt idx="0">
                  <c:v>443</c:v>
                </c:pt>
                <c:pt idx="1">
                  <c:v>1145</c:v>
                </c:pt>
                <c:pt idx="2">
                  <c:v>1410</c:v>
                </c:pt>
                <c:pt idx="3">
                  <c:v>270</c:v>
                </c:pt>
                <c:pt idx="4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0-4CB1-BA9B-990D5F2FC5DD}"/>
            </c:ext>
          </c:extLst>
        </c:ser>
        <c:ser>
          <c:idx val="1"/>
          <c:order val="1"/>
          <c:tx>
            <c:strRef>
              <c:f>Dashboard!$F$32</c:f>
              <c:strCache>
                <c:ptCount val="1"/>
                <c:pt idx="0">
                  <c:v>Jun Forecast</c:v>
                </c:pt>
              </c:strCache>
            </c:strRef>
          </c:tx>
          <c:spPr>
            <a:solidFill>
              <a:srgbClr val="BF8A1B"/>
            </a:solidFill>
            <a:ln>
              <a:noFill/>
            </a:ln>
            <a:effectLst/>
          </c:spPr>
          <c:invertIfNegative val="0"/>
          <c:cat>
            <c:strRef>
              <c:f>Dashboard!$A$33:$A$37</c:f>
              <c:strCache>
                <c:ptCount val="5"/>
                <c:pt idx="0">
                  <c:v>SKU001</c:v>
                </c:pt>
                <c:pt idx="1">
                  <c:v>SKU002</c:v>
                </c:pt>
                <c:pt idx="2">
                  <c:v>SKU003</c:v>
                </c:pt>
                <c:pt idx="3">
                  <c:v>SKU004</c:v>
                </c:pt>
                <c:pt idx="4">
                  <c:v>SKU005</c:v>
                </c:pt>
              </c:strCache>
            </c:strRef>
          </c:cat>
          <c:val>
            <c:numRef>
              <c:f>Dashboard!$F$33:$F$37</c:f>
              <c:numCache>
                <c:formatCode>#,##0</c:formatCode>
                <c:ptCount val="5"/>
                <c:pt idx="0">
                  <c:v>449</c:v>
                </c:pt>
                <c:pt idx="1">
                  <c:v>1185</c:v>
                </c:pt>
                <c:pt idx="2">
                  <c:v>1438</c:v>
                </c:pt>
                <c:pt idx="3">
                  <c:v>285</c:v>
                </c:pt>
                <c:pt idx="4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20-4CB1-BA9B-990D5F2FC5DD}"/>
            </c:ext>
          </c:extLst>
        </c:ser>
        <c:ser>
          <c:idx val="2"/>
          <c:order val="2"/>
          <c:tx>
            <c:strRef>
              <c:f>Dashboard!$G$32</c:f>
              <c:strCache>
                <c:ptCount val="1"/>
                <c:pt idx="0">
                  <c:v>Jul Forecast</c:v>
                </c:pt>
              </c:strCache>
            </c:strRef>
          </c:tx>
          <c:spPr>
            <a:solidFill>
              <a:srgbClr val="7E7E7E"/>
            </a:solidFill>
            <a:ln>
              <a:noFill/>
            </a:ln>
            <a:effectLst/>
          </c:spPr>
          <c:invertIfNegative val="0"/>
          <c:cat>
            <c:strRef>
              <c:f>Dashboard!$A$33:$A$37</c:f>
              <c:strCache>
                <c:ptCount val="5"/>
                <c:pt idx="0">
                  <c:v>SKU001</c:v>
                </c:pt>
                <c:pt idx="1">
                  <c:v>SKU002</c:v>
                </c:pt>
                <c:pt idx="2">
                  <c:v>SKU003</c:v>
                </c:pt>
                <c:pt idx="3">
                  <c:v>SKU004</c:v>
                </c:pt>
                <c:pt idx="4">
                  <c:v>SKU005</c:v>
                </c:pt>
              </c:strCache>
            </c:strRef>
          </c:cat>
          <c:val>
            <c:numRef>
              <c:f>Dashboard!$G$33:$G$37</c:f>
              <c:numCache>
                <c:formatCode>#,##0</c:formatCode>
                <c:ptCount val="5"/>
                <c:pt idx="0">
                  <c:v>456</c:v>
                </c:pt>
                <c:pt idx="1">
                  <c:v>1225</c:v>
                </c:pt>
                <c:pt idx="2">
                  <c:v>1465</c:v>
                </c:pt>
                <c:pt idx="3">
                  <c:v>300</c:v>
                </c:pt>
                <c:pt idx="4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20-4CB1-BA9B-990D5F2FC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747679"/>
        <c:axId val="184329392"/>
      </c:barChart>
      <c:catAx>
        <c:axId val="171374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9392"/>
        <c:crosses val="autoZero"/>
        <c:auto val="1"/>
        <c:lblAlgn val="ctr"/>
        <c:lblOffset val="100"/>
        <c:noMultiLvlLbl val="0"/>
      </c:catAx>
      <c:valAx>
        <c:axId val="18432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74767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Recommended Reorder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26262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Dashboard!$L$32</c:f>
              <c:strCache>
                <c:ptCount val="1"/>
                <c:pt idx="0">
                  <c:v>Reorder Qty</c:v>
                </c:pt>
              </c:strCache>
            </c:strRef>
          </c:tx>
          <c:spPr>
            <a:solidFill>
              <a:srgbClr val="2E5299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Dashboard!$A$33:$A$37</c:f>
              <c:strCache>
                <c:ptCount val="5"/>
                <c:pt idx="0">
                  <c:v>SKU001</c:v>
                </c:pt>
                <c:pt idx="1">
                  <c:v>SKU002</c:v>
                </c:pt>
                <c:pt idx="2">
                  <c:v>SKU003</c:v>
                </c:pt>
                <c:pt idx="3">
                  <c:v>SKU004</c:v>
                </c:pt>
                <c:pt idx="4">
                  <c:v>SKU005</c:v>
                </c:pt>
              </c:strCache>
            </c:strRef>
          </c:cat>
          <c:val>
            <c:numRef>
              <c:f>Dashboard!$L$33:$L$37</c:f>
              <c:numCache>
                <c:formatCode>#,##0</c:formatCode>
                <c:ptCount val="5"/>
                <c:pt idx="0">
                  <c:v>1478</c:v>
                </c:pt>
                <c:pt idx="1">
                  <c:v>3827</c:v>
                </c:pt>
                <c:pt idx="2">
                  <c:v>4553</c:v>
                </c:pt>
                <c:pt idx="3">
                  <c:v>988</c:v>
                </c:pt>
                <c:pt idx="4">
                  <c:v>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4-423D-9B8C-309CF20DA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3325007"/>
        <c:axId val="184305872"/>
      </c:barChart>
      <c:catAx>
        <c:axId val="1043325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05872"/>
        <c:crosses val="autoZero"/>
        <c:auto val="1"/>
        <c:lblAlgn val="ctr"/>
        <c:lblOffset val="100"/>
        <c:noMultiLvlLbl val="0"/>
      </c:catAx>
      <c:valAx>
        <c:axId val="18430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32500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2" name="Three Month Demand Forecast">
          <a:extLst>
            <a:ext uri="{FF2B5EF4-FFF2-40B4-BE49-F238E27FC236}">
              <a16:creationId xmlns:a16="http://schemas.microsoft.com/office/drawing/2014/main" id="{F4A3031D-742C-AA3E-8434-20E60852C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3" name="Recommended Reorder Quantity">
          <a:extLst>
            <a:ext uri="{FF2B5EF4-FFF2-40B4-BE49-F238E27FC236}">
              <a16:creationId xmlns:a16="http://schemas.microsoft.com/office/drawing/2014/main" id="{AF80C3BA-C993-FFDD-3545-AF5F9F87C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78E368-42C3-454C-A316-1ED34FCB5E41}" name="ForecastTable" displayName="ForecastTable" ref="A32:M37" totalsRowShown="0" headerRowDxfId="34" dataDxfId="32" headerRowBorderDxfId="33" tableBorderDxfId="31">
  <autoFilter ref="A32:M37" xr:uid="{DF78E368-42C3-454C-A316-1ED34FCB5E41}"/>
  <tableColumns count="13">
    <tableColumn id="1" xr3:uid="{B1D82843-9CFE-45EB-B5AE-2111AFCADD68}" name="SKU" dataDxfId="30"/>
    <tableColumn id="2" xr3:uid="{E3B92856-3124-4AB2-A537-57ADB6438B0E}" name="Product" dataDxfId="29">
      <calculatedColumnFormula>_xlfn.XLOOKUP($A33,Table1[SKU],Table1[Product])</calculatedColumnFormula>
    </tableColumn>
    <tableColumn id="3" xr3:uid="{A225E2B3-F12E-49E6-BF1E-17D892AB3063}" name="Lead Time (Days)" dataDxfId="28">
      <calculatedColumnFormula>_xlfn.XLOOKUP($A33,Table1[SKU],Table1[Lead Time (Days)])</calculatedColumnFormula>
    </tableColumn>
    <tableColumn id="4" xr3:uid="{573E7FED-BB03-43BD-A132-33687C1D249C}" name="Current Inventory" dataDxfId="27">
      <calculatedColumnFormula>MAX(0,SUMIFS(Table1[Opening Stock],Table1[SKU],$A33,Table1[Month],"Apr")-SUMIFS(Table1[Sales],Table1[SKU],$A33,Table1[Month],"Apr"))</calculatedColumnFormula>
    </tableColumn>
    <tableColumn id="5" xr3:uid="{B87C3039-D7DB-4CFF-B49A-2C782D0A9C18}" name="May Forecast" dataDxfId="26">
      <calculatedColumnFormula array="1">ROUND(_xlfn.FORECAST.LINEAR(5,_xlfn._xlws.FILTER(Table1[Sales],Table1[SKU]=$A33),_xlfn._xlws.FILTER(Table1[Month Index],Table1[SKU]=$A33)),0)</calculatedColumnFormula>
    </tableColumn>
    <tableColumn id="6" xr3:uid="{01FC24BE-658D-49BC-B45B-91E4B5F01D3D}" name="Jun Forecast" dataDxfId="25">
      <calculatedColumnFormula array="1">ROUND(_xlfn.FORECAST.LINEAR(6,_xlfn._xlws.FILTER(Table1[Sales],Table1[SKU]=$A33),_xlfn._xlws.FILTER(Table1[Month Index],Table1[SKU]=$A33)),0)</calculatedColumnFormula>
    </tableColumn>
    <tableColumn id="7" xr3:uid="{B15D476D-C3D6-4898-9384-A6ACC992216A}" name="Jul Forecast" dataDxfId="24">
      <calculatedColumnFormula array="1">ROUND(_xlfn.FORECAST.LINEAR(7,_xlfn._xlws.FILTER(Table1[Sales],Table1[SKU]=$A33),_xlfn._xlws.FILTER(Table1[Month Index],Table1[SKU]=$A33)),0)</calculatedColumnFormula>
    </tableColumn>
    <tableColumn id="8" xr3:uid="{0661CAA6-9769-4C32-8051-30E66A16E006}" name="3M Demand" dataDxfId="23">
      <calculatedColumnFormula>SUM(E33:G33)</calculatedColumnFormula>
    </tableColumn>
    <tableColumn id="9" xr3:uid="{51E70ADD-0B5B-4467-A27D-76CEB3AB2991}" name="Safety Stock" dataDxfId="22">
      <calculatedColumnFormula>ROUND((H33/3)/30*C33,0)</calculatedColumnFormula>
    </tableColumn>
    <tableColumn id="10" xr3:uid="{42CA5274-AAF2-4361-8E6A-753083D21981}" name="Projected Ending" dataDxfId="21">
      <calculatedColumnFormula>D33-H33</calculatedColumnFormula>
    </tableColumn>
    <tableColumn id="11" xr3:uid="{A77F0CCD-0137-43BA-83E8-0FA3F91563D6}" name="Risk" dataDxfId="20">
      <calculatedColumnFormula>IF(D33=0,"Critical",IF(D33&lt;E33,"High",IF(D33&lt;I33,"Medium","Low")))</calculatedColumnFormula>
    </tableColumn>
    <tableColumn id="12" xr3:uid="{69DD4A29-8F7C-4703-8C1E-4E9B2E7D23DB}" name="Reorder Qty" dataDxfId="19">
      <calculatedColumnFormula>MAX(0,H33+I33-D33)</calculatedColumnFormula>
    </tableColumn>
    <tableColumn id="13" xr3:uid="{C3EFF259-D667-4A1C-B85B-AA5416DF3AB1}" name="Reorder Value" dataDxfId="18">
      <calculatedColumnFormula>L33*_xlfn.XLOOKUP($A33,Table1[SKU],Table1[Unit Cost])</calculatedColumnFormula>
    </tableColumn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492F41-0472-40F3-A72C-1F2A108DC9C0}" name="Table1" displayName="Table1" ref="A1:J21" totalsRowShown="0" headerRowDxfId="17" dataDxfId="15" headerRowBorderDxfId="16" tableBorderDxfId="14">
  <autoFilter ref="A1:J21" xr:uid="{EF492F41-0472-40F3-A72C-1F2A108DC9C0}"/>
  <tableColumns count="10">
    <tableColumn id="1" xr3:uid="{234B06F5-2634-4314-BADB-2B8E92924E2C}" name="Month" dataDxfId="13"/>
    <tableColumn id="2" xr3:uid="{FE9F35E4-4F8C-485B-A249-8083AC554927}" name="SKU" dataDxfId="12"/>
    <tableColumn id="3" xr3:uid="{4FE98170-959D-40C4-8CEE-E980117A0E84}" name="Product" dataDxfId="11"/>
    <tableColumn id="4" xr3:uid="{C0FABE84-DB7E-4D66-B01F-AADE2994FA00}" name="Warehouse" dataDxfId="10"/>
    <tableColumn id="5" xr3:uid="{7F0E1590-4842-486F-88EB-67AE6AC6488C}" name="Opening Stock" dataDxfId="9"/>
    <tableColumn id="6" xr3:uid="{4A3091CD-BF2F-4CA4-81C5-AD563365D899}" name="Sales" dataDxfId="8"/>
    <tableColumn id="7" xr3:uid="{B6AE82BD-6301-4C25-A474-14771B364311}" name="Lead Time (Days)" dataDxfId="7"/>
    <tableColumn id="8" xr3:uid="{A2199B8C-69B0-491A-9424-038C0F441B8A}" name="Supplier" dataDxfId="6"/>
    <tableColumn id="9" xr3:uid="{261D5FF5-3559-400A-8037-077371CCF7D3}" name="Unit Cost" dataDxfId="5"/>
    <tableColumn id="10" xr3:uid="{6EBCCDB2-D8C1-44A6-B4B7-30FE26736641}" name="Month Index" dataDxfId="4">
      <calculatedColumnFormula array="1">_xlfn.SWITCH(Table1[[#This Row],[Month]],"Jan",1,"Feb",2,"Mar",3,"Apr",4)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50B1-97EA-4A66-A36E-AC9364D2ED87}">
  <sheetPr codeName="Sheet2"/>
  <dimension ref="A1:AA40"/>
  <sheetViews>
    <sheetView showGridLines="0" tabSelected="1" zoomScale="70" zoomScaleNormal="70" workbookViewId="0">
      <selection activeCell="O9" sqref="O9"/>
    </sheetView>
  </sheetViews>
  <sheetFormatPr defaultRowHeight="14.5" x14ac:dyDescent="0.35"/>
  <cols>
    <col min="1" max="1" width="9.08984375" customWidth="1"/>
    <col min="2" max="2" width="12.7265625" customWidth="1"/>
    <col min="3" max="3" width="9.453125" customWidth="1"/>
    <col min="4" max="7" width="10.54296875" customWidth="1"/>
    <col min="8" max="8" width="11.81640625" customWidth="1"/>
    <col min="9" max="9" width="10.90625" customWidth="1"/>
    <col min="10" max="10" width="12.7265625" customWidth="1"/>
    <col min="11" max="11" width="10" customWidth="1"/>
    <col min="12" max="12" width="11.81640625" customWidth="1"/>
    <col min="13" max="13" width="14.54296875" customWidth="1"/>
  </cols>
  <sheetData>
    <row r="1" spans="1:27" ht="30" customHeight="1" x14ac:dyDescent="0.35">
      <c r="A1" s="37" t="s">
        <v>34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" customHeight="1" x14ac:dyDescent="0.35">
      <c r="A2" s="38" t="s">
        <v>35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8" customHeight="1" x14ac:dyDescent="0.35">
      <c r="A4" s="25" t="s">
        <v>40</v>
      </c>
      <c r="B4" s="26"/>
      <c r="C4" s="26"/>
      <c r="D4" s="25" t="s">
        <v>42</v>
      </c>
      <c r="E4" s="26"/>
      <c r="F4" s="26"/>
      <c r="G4" s="32" t="s">
        <v>44</v>
      </c>
      <c r="H4" s="33"/>
      <c r="I4" s="33"/>
      <c r="J4" s="43" t="s">
        <v>46</v>
      </c>
      <c r="K4" s="44"/>
      <c r="L4" s="44"/>
      <c r="M4" s="4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s="23" customFormat="1" ht="26" customHeight="1" x14ac:dyDescent="0.35">
      <c r="A5" s="27">
        <f>SUM(D33:D37)</f>
        <v>25</v>
      </c>
      <c r="B5" s="28"/>
      <c r="C5" s="28"/>
      <c r="D5" s="27">
        <f>SUM(H33:H37)</f>
        <v>10652</v>
      </c>
      <c r="E5" s="28"/>
      <c r="F5" s="28"/>
      <c r="G5" s="34">
        <f>COUNTIF(K33:K37,"Critical")+COUNTIF(K33:K37,"High")</f>
        <v>5</v>
      </c>
      <c r="H5" s="35"/>
      <c r="I5" s="35"/>
      <c r="J5" s="46">
        <f>SUM(M33:M37)</f>
        <v>97713500</v>
      </c>
      <c r="K5" s="47"/>
      <c r="L5" s="47"/>
      <c r="M5" s="48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s="23" customFormat="1" ht="26" customHeight="1" x14ac:dyDescent="0.35">
      <c r="A6" s="29"/>
      <c r="B6" s="28"/>
      <c r="C6" s="28"/>
      <c r="D6" s="29"/>
      <c r="E6" s="28"/>
      <c r="F6" s="28"/>
      <c r="G6" s="36"/>
      <c r="H6" s="35"/>
      <c r="I6" s="35"/>
      <c r="J6" s="49"/>
      <c r="K6" s="47"/>
      <c r="L6" s="47"/>
      <c r="M6" s="48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8" customHeight="1" x14ac:dyDescent="0.35">
      <c r="A7" s="30" t="s">
        <v>41</v>
      </c>
      <c r="B7" s="31"/>
      <c r="C7" s="31"/>
      <c r="D7" s="30" t="s">
        <v>43</v>
      </c>
      <c r="E7" s="31"/>
      <c r="F7" s="31"/>
      <c r="G7" s="30" t="s">
        <v>45</v>
      </c>
      <c r="H7" s="31"/>
      <c r="I7" s="31"/>
      <c r="J7" s="50" t="s">
        <v>47</v>
      </c>
      <c r="K7" s="51"/>
      <c r="L7" s="51"/>
      <c r="M7" s="5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2" customHeight="1" x14ac:dyDescent="0.35">
      <c r="A9" s="24" t="s">
        <v>36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4" customHeight="1" x14ac:dyDescent="0.35">
      <c r="A10" s="40" t="str">
        <f>"Demand is forecast to reach "&amp;TEXT(D5,"#,##0")&amp;" units over May–July, while only "&amp;TEXT(A5,"#,##0")&amp;" units remain available after April sales. "&amp;TEXT(G5,"0")&amp;" of 5 SKUs are high or critical risk. Recommended replenishment totals "&amp;TEXT(SUM(L33:L37),"#,##0")&amp;" units with an estimated purchase value of "&amp;TEXT(J5,"₹#,##0")&amp;". Forecasts use a linear trend from Jan–Apr sales and safety stock equal to lead-time demand."</f>
        <v>Demand is forecast to reach 10,652 units over May–July, while only 25 units remain available after April sales. 5 of 5 SKUs are high or critical risk. Recommended replenishment totals 11,563 units with an estimated purchase value of ₹9,77,13,500. Forecasts use a linear trend from Jan–Apr sales and safety stock equal to lead-time demand.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4" customHeight="1" x14ac:dyDescent="0.3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2" customHeight="1" x14ac:dyDescent="0.35">
      <c r="A13" s="41" t="s">
        <v>37</v>
      </c>
      <c r="B13" s="41"/>
      <c r="C13" s="41"/>
      <c r="D13" s="41"/>
      <c r="E13" s="41"/>
      <c r="F13" s="41"/>
      <c r="G13" s="2"/>
      <c r="H13" s="42" t="s">
        <v>38</v>
      </c>
      <c r="I13" s="42"/>
      <c r="J13" s="42"/>
      <c r="K13" s="42"/>
      <c r="L13" s="42"/>
      <c r="M13" s="4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2" customHeight="1" x14ac:dyDescent="0.35">
      <c r="A31" s="24" t="s">
        <v>39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4" thickBot="1" x14ac:dyDescent="0.4">
      <c r="A32" s="8" t="s">
        <v>1</v>
      </c>
      <c r="B32" s="8" t="s">
        <v>2</v>
      </c>
      <c r="C32" s="8" t="s">
        <v>6</v>
      </c>
      <c r="D32" s="8" t="s">
        <v>48</v>
      </c>
      <c r="E32" s="8" t="s">
        <v>49</v>
      </c>
      <c r="F32" s="8" t="s">
        <v>50</v>
      </c>
      <c r="G32" s="8" t="s">
        <v>51</v>
      </c>
      <c r="H32" s="8" t="s">
        <v>52</v>
      </c>
      <c r="I32" s="8" t="s">
        <v>53</v>
      </c>
      <c r="J32" s="8" t="s">
        <v>54</v>
      </c>
      <c r="K32" s="8" t="s">
        <v>55</v>
      </c>
      <c r="L32" s="8" t="s">
        <v>56</v>
      </c>
      <c r="M32" s="8" t="s">
        <v>57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5">
      <c r="A33" s="4" t="s">
        <v>10</v>
      </c>
      <c r="B33" s="4" t="str">
        <f>_xlfn.XLOOKUP($A33,Table1[SKU],Table1[Product])</f>
        <v>Laptop</v>
      </c>
      <c r="C33" s="5">
        <f>_xlfn.XLOOKUP($A33,Table1[SKU],Table1[Lead Time (Days)])</f>
        <v>10</v>
      </c>
      <c r="D33" s="5">
        <f>MAX(0,SUMIFS(Table1[Opening Stock],Table1[SKU],$A33,Table1[Month],"Apr")-SUMIFS(Table1[Sales],Table1[SKU],$A33,Table1[Month],"Apr"))</f>
        <v>20</v>
      </c>
      <c r="E33" s="5" cm="1">
        <f t="array" ref="E33">ROUND(_xlfn.FORECAST.LINEAR(5,_xlfn._xlws.FILTER(Table1[Sales],Table1[SKU]=$A33),_xlfn._xlws.FILTER(Table1[Month Index],Table1[SKU]=$A33)),0)</f>
        <v>443</v>
      </c>
      <c r="F33" s="5" cm="1">
        <f t="array" ref="F33">ROUND(_xlfn.FORECAST.LINEAR(6,_xlfn._xlws.FILTER(Table1[Sales],Table1[SKU]=$A33),_xlfn._xlws.FILTER(Table1[Month Index],Table1[SKU]=$A33)),0)</f>
        <v>449</v>
      </c>
      <c r="G33" s="5" cm="1">
        <f t="array" ref="G33">ROUND(_xlfn.FORECAST.LINEAR(7,_xlfn._xlws.FILTER(Table1[Sales],Table1[SKU]=$A33),_xlfn._xlws.FILTER(Table1[Month Index],Table1[SKU]=$A33)),0)</f>
        <v>456</v>
      </c>
      <c r="H33" s="5">
        <f>SUM(E33:G33)</f>
        <v>1348</v>
      </c>
      <c r="I33" s="5">
        <f>ROUND((H33/3)/30*C33,0)</f>
        <v>150</v>
      </c>
      <c r="J33" s="5">
        <f>D33-H33</f>
        <v>-1328</v>
      </c>
      <c r="K33" s="6" t="str">
        <f>IF(D33=0,"Critical",IF(D33&lt;E33,"High",IF(D33&lt;I33,"Medium","Low")))</f>
        <v>High</v>
      </c>
      <c r="L33" s="5">
        <f>MAX(0,H33+I33-D33)</f>
        <v>1478</v>
      </c>
      <c r="M33" s="7">
        <f>L33*_xlfn.XLOOKUP($A33,Table1[SKU],Table1[Unit Cost])</f>
        <v>66510000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5">
      <c r="A34" s="9" t="s">
        <v>17</v>
      </c>
      <c r="B34" s="9" t="str">
        <f>_xlfn.XLOOKUP($A34,Table1[SKU],Table1[Product])</f>
        <v>Keyboard</v>
      </c>
      <c r="C34" s="10">
        <f>_xlfn.XLOOKUP($A34,Table1[SKU],Table1[Lead Time (Days)])</f>
        <v>7</v>
      </c>
      <c r="D34" s="10">
        <f>MAX(0,SUMIFS(Table1[Opening Stock],Table1[SKU],$A34,Table1[Month],"Apr")-SUMIFS(Table1[Sales],Table1[SKU],$A34,Table1[Month],"Apr"))</f>
        <v>5</v>
      </c>
      <c r="E34" s="10" cm="1">
        <f t="array" ref="E34">ROUND(_xlfn.FORECAST.LINEAR(5,_xlfn._xlws.FILTER(Table1[Sales],Table1[SKU]=$A34),_xlfn._xlws.FILTER(Table1[Month Index],Table1[SKU]=$A34)),0)</f>
        <v>1145</v>
      </c>
      <c r="F34" s="10" cm="1">
        <f t="array" ref="F34">ROUND(_xlfn.FORECAST.LINEAR(6,_xlfn._xlws.FILTER(Table1[Sales],Table1[SKU]=$A34),_xlfn._xlws.FILTER(Table1[Month Index],Table1[SKU]=$A34)),0)</f>
        <v>1185</v>
      </c>
      <c r="G34" s="10" cm="1">
        <f t="array" ref="G34">ROUND(_xlfn.FORECAST.LINEAR(7,_xlfn._xlws.FILTER(Table1[Sales],Table1[SKU]=$A34),_xlfn._xlws.FILTER(Table1[Month Index],Table1[SKU]=$A34)),0)</f>
        <v>1225</v>
      </c>
      <c r="H34" s="10">
        <f>SUM(E34:G34)</f>
        <v>3555</v>
      </c>
      <c r="I34" s="10">
        <f>ROUND((H34/3)/30*C34,0)</f>
        <v>277</v>
      </c>
      <c r="J34" s="10">
        <f>D34-H34</f>
        <v>-3550</v>
      </c>
      <c r="K34" s="11" t="str">
        <f>IF(D34=0,"Critical",IF(D34&lt;E34,"High",IF(D34&lt;I34,"Medium","Low")))</f>
        <v>High</v>
      </c>
      <c r="L34" s="10">
        <f>MAX(0,H34+I34-D34)</f>
        <v>3827</v>
      </c>
      <c r="M34" s="12">
        <f>L34*_xlfn.XLOOKUP($A34,Table1[SKU],Table1[Unit Cost])</f>
        <v>4592400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5">
      <c r="A35" s="4" t="s">
        <v>21</v>
      </c>
      <c r="B35" s="4" t="str">
        <f>_xlfn.XLOOKUP($A35,Table1[SKU],Table1[Product])</f>
        <v>Mouse</v>
      </c>
      <c r="C35" s="5">
        <f>_xlfn.XLOOKUP($A35,Table1[SKU],Table1[Lead Time (Days)])</f>
        <v>5</v>
      </c>
      <c r="D35" s="5">
        <f>MAX(0,SUMIFS(Table1[Opening Stock],Table1[SKU],$A35,Table1[Month],"Apr")-SUMIFS(Table1[Sales],Table1[SKU],$A35,Table1[Month],"Apr"))</f>
        <v>0</v>
      </c>
      <c r="E35" s="5" cm="1">
        <f t="array" ref="E35">ROUND(_xlfn.FORECAST.LINEAR(5,_xlfn._xlws.FILTER(Table1[Sales],Table1[SKU]=$A35),_xlfn._xlws.FILTER(Table1[Month Index],Table1[SKU]=$A35)),0)</f>
        <v>1410</v>
      </c>
      <c r="F35" s="5" cm="1">
        <f t="array" ref="F35">ROUND(_xlfn.FORECAST.LINEAR(6,_xlfn._xlws.FILTER(Table1[Sales],Table1[SKU]=$A35),_xlfn._xlws.FILTER(Table1[Month Index],Table1[SKU]=$A35)),0)</f>
        <v>1438</v>
      </c>
      <c r="G35" s="5" cm="1">
        <f t="array" ref="G35">ROUND(_xlfn.FORECAST.LINEAR(7,_xlfn._xlws.FILTER(Table1[Sales],Table1[SKU]=$A35),_xlfn._xlws.FILTER(Table1[Month Index],Table1[SKU]=$A35)),0)</f>
        <v>1465</v>
      </c>
      <c r="H35" s="5">
        <f>SUM(E35:G35)</f>
        <v>4313</v>
      </c>
      <c r="I35" s="5">
        <f>ROUND((H35/3)/30*C35,0)</f>
        <v>240</v>
      </c>
      <c r="J35" s="5">
        <f>D35-H35</f>
        <v>-4313</v>
      </c>
      <c r="K35" s="6" t="str">
        <f>IF(D35=0,"Critical",IF(D35&lt;E35,"High",IF(D35&lt;I35,"Medium","Low")))</f>
        <v>Critical</v>
      </c>
      <c r="L35" s="5">
        <f>MAX(0,H35+I35-D35)</f>
        <v>4553</v>
      </c>
      <c r="M35" s="7">
        <f>L35*_xlfn.XLOOKUP($A35,Table1[SKU],Table1[Unit Cost])</f>
        <v>3187100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5">
      <c r="A36" s="9" t="s">
        <v>25</v>
      </c>
      <c r="B36" s="9" t="str">
        <f>_xlfn.XLOOKUP($A36,Table1[SKU],Table1[Product])</f>
        <v>Monitor</v>
      </c>
      <c r="C36" s="10">
        <f>_xlfn.XLOOKUP($A36,Table1[SKU],Table1[Lead Time (Days)])</f>
        <v>14</v>
      </c>
      <c r="D36" s="10">
        <f>MAX(0,SUMIFS(Table1[Opening Stock],Table1[SKU],$A36,Table1[Month],"Apr")-SUMIFS(Table1[Sales],Table1[SKU],$A36,Table1[Month],"Apr"))</f>
        <v>0</v>
      </c>
      <c r="E36" s="10" cm="1">
        <f t="array" ref="E36">ROUND(_xlfn.FORECAST.LINEAR(5,_xlfn._xlws.FILTER(Table1[Sales],Table1[SKU]=$A36),_xlfn._xlws.FILTER(Table1[Month Index],Table1[SKU]=$A36)),0)</f>
        <v>270</v>
      </c>
      <c r="F36" s="10" cm="1">
        <f t="array" ref="F36">ROUND(_xlfn.FORECAST.LINEAR(6,_xlfn._xlws.FILTER(Table1[Sales],Table1[SKU]=$A36),_xlfn._xlws.FILTER(Table1[Month Index],Table1[SKU]=$A36)),0)</f>
        <v>285</v>
      </c>
      <c r="G36" s="10" cm="1">
        <f t="array" ref="G36">ROUND(_xlfn.FORECAST.LINEAR(7,_xlfn._xlws.FILTER(Table1[Sales],Table1[SKU]=$A36),_xlfn._xlws.FILTER(Table1[Month Index],Table1[SKU]=$A36)),0)</f>
        <v>300</v>
      </c>
      <c r="H36" s="10">
        <f>SUM(E36:G36)</f>
        <v>855</v>
      </c>
      <c r="I36" s="10">
        <f>ROUND((H36/3)/30*C36,0)</f>
        <v>133</v>
      </c>
      <c r="J36" s="10">
        <f>D36-H36</f>
        <v>-855</v>
      </c>
      <c r="K36" s="11" t="str">
        <f>IF(D36=0,"Critical",IF(D36&lt;E36,"High",IF(D36&lt;I36,"Medium","Low")))</f>
        <v>Critical</v>
      </c>
      <c r="L36" s="10">
        <f>MAX(0,H36+I36-D36)</f>
        <v>988</v>
      </c>
      <c r="M36" s="12">
        <f>L36*_xlfn.XLOOKUP($A36,Table1[SKU],Table1[Unit Cost])</f>
        <v>14820000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5">
      <c r="A37" s="4" t="s">
        <v>29</v>
      </c>
      <c r="B37" s="4" t="str">
        <f>_xlfn.XLOOKUP($A37,Table1[SKU],Table1[Product])</f>
        <v>Printer</v>
      </c>
      <c r="C37" s="5">
        <f>_xlfn.XLOOKUP($A37,Table1[SKU],Table1[Lead Time (Days)])</f>
        <v>21</v>
      </c>
      <c r="D37" s="5">
        <f>MAX(0,SUMIFS(Table1[Opening Stock],Table1[SKU],$A37,Table1[Month],"Apr")-SUMIFS(Table1[Sales],Table1[SKU],$A37,Table1[Month],"Apr"))</f>
        <v>0</v>
      </c>
      <c r="E37" s="5" cm="1">
        <f t="array" ref="E37">ROUND(_xlfn.FORECAST.LINEAR(5,_xlfn._xlws.FILTER(Table1[Sales],Table1[SKU]=$A37),_xlfn._xlws.FILTER(Table1[Month Index],Table1[SKU]=$A37)),0)</f>
        <v>185</v>
      </c>
      <c r="F37" s="5" cm="1">
        <f t="array" ref="F37">ROUND(_xlfn.FORECAST.LINEAR(6,_xlfn._xlws.FILTER(Table1[Sales],Table1[SKU]=$A37),_xlfn._xlws.FILTER(Table1[Month Index],Table1[SKU]=$A37)),0)</f>
        <v>194</v>
      </c>
      <c r="G37" s="5" cm="1">
        <f t="array" ref="G37">ROUND(_xlfn.FORECAST.LINEAR(7,_xlfn._xlws.FILTER(Table1[Sales],Table1[SKU]=$A37),_xlfn._xlws.FILTER(Table1[Month Index],Table1[SKU]=$A37)),0)</f>
        <v>202</v>
      </c>
      <c r="H37" s="5">
        <f>SUM(E37:G37)</f>
        <v>581</v>
      </c>
      <c r="I37" s="5">
        <f>ROUND((H37/3)/30*C37,0)</f>
        <v>136</v>
      </c>
      <c r="J37" s="5">
        <f>D37-H37</f>
        <v>-581</v>
      </c>
      <c r="K37" s="6" t="str">
        <f>IF(D37=0,"Critical",IF(D37&lt;E37,"High",IF(D37&lt;I37,"Medium","Low")))</f>
        <v>Critical</v>
      </c>
      <c r="L37" s="5">
        <f>MAX(0,H37+I37-D37)</f>
        <v>717</v>
      </c>
      <c r="M37" s="7">
        <f>L37*_xlfn.XLOOKUP($A37,Table1[SKU],Table1[Unit Cost])</f>
        <v>8604000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</sheetData>
  <mergeCells count="19">
    <mergeCell ref="A1:M1"/>
    <mergeCell ref="A2:M2"/>
    <mergeCell ref="A9:M9"/>
    <mergeCell ref="A10:M11"/>
    <mergeCell ref="A13:F13"/>
    <mergeCell ref="H13:M13"/>
    <mergeCell ref="J4:M4"/>
    <mergeCell ref="J5:M6"/>
    <mergeCell ref="J7:M7"/>
    <mergeCell ref="A31:M31"/>
    <mergeCell ref="A4:C4"/>
    <mergeCell ref="A5:C6"/>
    <mergeCell ref="A7:C7"/>
    <mergeCell ref="D4:F4"/>
    <mergeCell ref="D5:F6"/>
    <mergeCell ref="D7:F7"/>
    <mergeCell ref="G4:I4"/>
    <mergeCell ref="G5:I6"/>
    <mergeCell ref="G7:I7"/>
  </mergeCells>
  <conditionalFormatting sqref="K33:K37">
    <cfRule type="expression" dxfId="3" priority="1">
      <formula>$K33="Critical"</formula>
    </cfRule>
    <cfRule type="expression" dxfId="2" priority="2">
      <formula>$K33="High"</formula>
    </cfRule>
    <cfRule type="expression" dxfId="1" priority="3">
      <formula>$K33="Medium"</formula>
    </cfRule>
    <cfRule type="expression" dxfId="0" priority="4">
      <formula>$K33="Low"</formula>
    </cfRule>
  </conditionalFormatting>
  <conditionalFormatting sqref="L33:L37">
    <cfRule type="dataBar" priority="5">
      <dataBar>
        <cfvo type="min"/>
        <cfvo type="max"/>
        <color rgb="FF87AFE2"/>
      </dataBar>
      <extLst>
        <ext xmlns:x14="http://schemas.microsoft.com/office/spreadsheetml/2009/9/main" uri="{B025F937-C7B1-47D3-B67F-A62EFF666E3E}">
          <x14:id>{D8A34F7A-594E-47ED-9936-A26A366D90B5}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A34F7A-594E-47ED-9936-A26A366D90B5}">
            <x14:dataBar minLength="0" maxLength="100" negativeBarColorSameAsPositive="1" axisPosition="none">
              <x14:cfvo type="min"/>
              <x14:cfvo type="max"/>
            </x14:dataBar>
          </x14:cfRule>
          <xm:sqref>L33:L37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B9F7-79AF-45BE-BD3C-961FBD12A0E7}">
  <sheetPr codeName="Sheet1"/>
  <dimension ref="A1:K22"/>
  <sheetViews>
    <sheetView workbookViewId="0">
      <selection activeCell="D11" sqref="D11"/>
    </sheetView>
  </sheetViews>
  <sheetFormatPr defaultRowHeight="14.5" x14ac:dyDescent="0.35"/>
  <cols>
    <col min="1" max="1" width="10" customWidth="1"/>
    <col min="2" max="2" width="11.81640625" customWidth="1"/>
    <col min="3" max="3" width="13.6328125" customWidth="1"/>
    <col min="4" max="4" width="14.54296875" customWidth="1"/>
    <col min="5" max="7" width="14.90625" customWidth="1"/>
    <col min="8" max="9" width="13.6328125" customWidth="1"/>
    <col min="10" max="10" width="11.81640625" customWidth="1"/>
  </cols>
  <sheetData>
    <row r="1" spans="1:11" ht="18" customHeight="1" thickBot="1" x14ac:dyDescent="0.4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7" t="s">
        <v>6</v>
      </c>
      <c r="H1" s="16" t="s">
        <v>7</v>
      </c>
      <c r="I1" s="17" t="s">
        <v>8</v>
      </c>
      <c r="J1" s="17" t="s">
        <v>33</v>
      </c>
      <c r="K1" s="1"/>
    </row>
    <row r="2" spans="1:11" ht="18" customHeight="1" x14ac:dyDescent="0.35">
      <c r="A2" s="3" t="s">
        <v>9</v>
      </c>
      <c r="B2" s="3" t="s">
        <v>10</v>
      </c>
      <c r="C2" s="3" t="s">
        <v>11</v>
      </c>
      <c r="D2" s="3" t="s">
        <v>12</v>
      </c>
      <c r="E2" s="13">
        <v>500</v>
      </c>
      <c r="F2" s="13">
        <v>420</v>
      </c>
      <c r="G2" s="13">
        <v>10</v>
      </c>
      <c r="H2" s="3" t="s">
        <v>13</v>
      </c>
      <c r="I2" s="14">
        <v>45000</v>
      </c>
      <c r="J2" s="15" cm="1">
        <f t="array" ref="J2">_xlfn.SWITCH(Table1[[#This Row],[Month]],"Jan",1,"Feb",2,"Mar",3,"Apr",4)</f>
        <v>1</v>
      </c>
      <c r="K2" s="1"/>
    </row>
    <row r="3" spans="1:11" ht="18" customHeight="1" x14ac:dyDescent="0.35">
      <c r="A3" s="18" t="s">
        <v>14</v>
      </c>
      <c r="B3" s="18" t="s">
        <v>10</v>
      </c>
      <c r="C3" s="18" t="s">
        <v>11</v>
      </c>
      <c r="D3" s="18" t="s">
        <v>12</v>
      </c>
      <c r="E3" s="19">
        <v>480</v>
      </c>
      <c r="F3" s="19">
        <v>410</v>
      </c>
      <c r="G3" s="19">
        <v>10</v>
      </c>
      <c r="H3" s="18" t="s">
        <v>13</v>
      </c>
      <c r="I3" s="20">
        <v>45000</v>
      </c>
      <c r="J3" s="21" cm="1">
        <f t="array" ref="J3">_xlfn.SWITCH(Table1[[#This Row],[Month]],"Jan",1,"Feb",2,"Mar",3,"Apr",4)</f>
        <v>2</v>
      </c>
      <c r="K3" s="1"/>
    </row>
    <row r="4" spans="1:11" ht="18" customHeight="1" x14ac:dyDescent="0.35">
      <c r="A4" s="3" t="s">
        <v>15</v>
      </c>
      <c r="B4" s="3" t="s">
        <v>10</v>
      </c>
      <c r="C4" s="3" t="s">
        <v>11</v>
      </c>
      <c r="D4" s="3" t="s">
        <v>12</v>
      </c>
      <c r="E4" s="13">
        <v>470</v>
      </c>
      <c r="F4" s="13">
        <v>445</v>
      </c>
      <c r="G4" s="13">
        <v>10</v>
      </c>
      <c r="H4" s="3" t="s">
        <v>13</v>
      </c>
      <c r="I4" s="14">
        <v>45000</v>
      </c>
      <c r="J4" s="15" cm="1">
        <f t="array" ref="J4">_xlfn.SWITCH(Table1[[#This Row],[Month]],"Jan",1,"Feb",2,"Mar",3,"Apr",4)</f>
        <v>3</v>
      </c>
      <c r="K4" s="1"/>
    </row>
    <row r="5" spans="1:11" ht="18" customHeight="1" x14ac:dyDescent="0.35">
      <c r="A5" s="18" t="s">
        <v>16</v>
      </c>
      <c r="B5" s="18" t="s">
        <v>10</v>
      </c>
      <c r="C5" s="18" t="s">
        <v>11</v>
      </c>
      <c r="D5" s="18" t="s">
        <v>12</v>
      </c>
      <c r="E5" s="19">
        <v>450</v>
      </c>
      <c r="F5" s="19">
        <v>430</v>
      </c>
      <c r="G5" s="19">
        <v>10</v>
      </c>
      <c r="H5" s="18" t="s">
        <v>13</v>
      </c>
      <c r="I5" s="20">
        <v>45000</v>
      </c>
      <c r="J5" s="21" cm="1">
        <f t="array" ref="J5">_xlfn.SWITCH(Table1[[#This Row],[Month]],"Jan",1,"Feb",2,"Mar",3,"Apr",4)</f>
        <v>4</v>
      </c>
      <c r="K5" s="1"/>
    </row>
    <row r="6" spans="1:11" ht="18" customHeight="1" x14ac:dyDescent="0.35">
      <c r="A6" s="3" t="s">
        <v>9</v>
      </c>
      <c r="B6" s="3" t="s">
        <v>17</v>
      </c>
      <c r="C6" s="3" t="s">
        <v>18</v>
      </c>
      <c r="D6" s="3" t="s">
        <v>19</v>
      </c>
      <c r="E6" s="13">
        <v>1200</v>
      </c>
      <c r="F6" s="13">
        <v>980</v>
      </c>
      <c r="G6" s="13">
        <v>7</v>
      </c>
      <c r="H6" s="3" t="s">
        <v>20</v>
      </c>
      <c r="I6" s="14">
        <v>1200</v>
      </c>
      <c r="J6" s="15" cm="1">
        <f t="array" ref="J6">_xlfn.SWITCH(Table1[[#This Row],[Month]],"Jan",1,"Feb",2,"Mar",3,"Apr",4)</f>
        <v>1</v>
      </c>
      <c r="K6" s="1"/>
    </row>
    <row r="7" spans="1:11" ht="18" customHeight="1" x14ac:dyDescent="0.35">
      <c r="A7" s="18" t="s">
        <v>14</v>
      </c>
      <c r="B7" s="18" t="s">
        <v>17</v>
      </c>
      <c r="C7" s="18" t="s">
        <v>18</v>
      </c>
      <c r="D7" s="18" t="s">
        <v>19</v>
      </c>
      <c r="E7" s="19">
        <v>1180</v>
      </c>
      <c r="F7" s="19">
        <v>1025</v>
      </c>
      <c r="G7" s="19">
        <v>7</v>
      </c>
      <c r="H7" s="18" t="s">
        <v>20</v>
      </c>
      <c r="I7" s="20">
        <v>1200</v>
      </c>
      <c r="J7" s="21" cm="1">
        <f t="array" ref="J7">_xlfn.SWITCH(Table1[[#This Row],[Month]],"Jan",1,"Feb",2,"Mar",3,"Apr",4)</f>
        <v>2</v>
      </c>
      <c r="K7" s="1"/>
    </row>
    <row r="8" spans="1:11" ht="18" customHeight="1" x14ac:dyDescent="0.35">
      <c r="A8" s="3" t="s">
        <v>15</v>
      </c>
      <c r="B8" s="3" t="s">
        <v>17</v>
      </c>
      <c r="C8" s="3" t="s">
        <v>18</v>
      </c>
      <c r="D8" s="3" t="s">
        <v>19</v>
      </c>
      <c r="E8" s="13">
        <v>1150</v>
      </c>
      <c r="F8" s="13">
        <v>1080</v>
      </c>
      <c r="G8" s="13">
        <v>7</v>
      </c>
      <c r="H8" s="3" t="s">
        <v>20</v>
      </c>
      <c r="I8" s="14">
        <v>1200</v>
      </c>
      <c r="J8" s="15" cm="1">
        <f t="array" ref="J8">_xlfn.SWITCH(Table1[[#This Row],[Month]],"Jan",1,"Feb",2,"Mar",3,"Apr",4)</f>
        <v>3</v>
      </c>
      <c r="K8" s="1"/>
    </row>
    <row r="9" spans="1:11" ht="18" customHeight="1" x14ac:dyDescent="0.35">
      <c r="A9" s="18" t="s">
        <v>16</v>
      </c>
      <c r="B9" s="18" t="s">
        <v>17</v>
      </c>
      <c r="C9" s="18" t="s">
        <v>18</v>
      </c>
      <c r="D9" s="18" t="s">
        <v>19</v>
      </c>
      <c r="E9" s="19">
        <v>1100</v>
      </c>
      <c r="F9" s="19">
        <v>1095</v>
      </c>
      <c r="G9" s="19">
        <v>7</v>
      </c>
      <c r="H9" s="18" t="s">
        <v>20</v>
      </c>
      <c r="I9" s="20">
        <v>1200</v>
      </c>
      <c r="J9" s="21" cm="1">
        <f t="array" ref="J9">_xlfn.SWITCH(Table1[[#This Row],[Month]],"Jan",1,"Feb",2,"Mar",3,"Apr",4)</f>
        <v>4</v>
      </c>
      <c r="K9" s="1"/>
    </row>
    <row r="10" spans="1:11" ht="18" customHeight="1" x14ac:dyDescent="0.35">
      <c r="A10" s="3" t="s">
        <v>9</v>
      </c>
      <c r="B10" s="3" t="s">
        <v>21</v>
      </c>
      <c r="C10" s="3" t="s">
        <v>22</v>
      </c>
      <c r="D10" s="3" t="s">
        <v>23</v>
      </c>
      <c r="E10" s="13">
        <v>1500</v>
      </c>
      <c r="F10" s="13">
        <v>1300</v>
      </c>
      <c r="G10" s="13">
        <v>5</v>
      </c>
      <c r="H10" s="3" t="s">
        <v>24</v>
      </c>
      <c r="I10" s="14">
        <v>700</v>
      </c>
      <c r="J10" s="15" cm="1">
        <f t="array" ref="J10">_xlfn.SWITCH(Table1[[#This Row],[Month]],"Jan",1,"Feb",2,"Mar",3,"Apr",4)</f>
        <v>1</v>
      </c>
      <c r="K10" s="1"/>
    </row>
    <row r="11" spans="1:11" ht="18" customHeight="1" x14ac:dyDescent="0.35">
      <c r="A11" s="18" t="s">
        <v>14</v>
      </c>
      <c r="B11" s="18" t="s">
        <v>21</v>
      </c>
      <c r="C11" s="18" t="s">
        <v>22</v>
      </c>
      <c r="D11" s="18" t="s">
        <v>23</v>
      </c>
      <c r="E11" s="19">
        <v>1450</v>
      </c>
      <c r="F11" s="19">
        <v>1325</v>
      </c>
      <c r="G11" s="19">
        <v>5</v>
      </c>
      <c r="H11" s="18" t="s">
        <v>24</v>
      </c>
      <c r="I11" s="20">
        <v>700</v>
      </c>
      <c r="J11" s="21" cm="1">
        <f t="array" ref="J11">_xlfn.SWITCH(Table1[[#This Row],[Month]],"Jan",1,"Feb",2,"Mar",3,"Apr",4)</f>
        <v>2</v>
      </c>
      <c r="K11" s="1"/>
    </row>
    <row r="12" spans="1:11" ht="18" customHeight="1" x14ac:dyDescent="0.35">
      <c r="A12" s="3" t="s">
        <v>15</v>
      </c>
      <c r="B12" s="3" t="s">
        <v>21</v>
      </c>
      <c r="C12" s="3" t="s">
        <v>22</v>
      </c>
      <c r="D12" s="3" t="s">
        <v>23</v>
      </c>
      <c r="E12" s="13">
        <v>1400</v>
      </c>
      <c r="F12" s="13">
        <v>1360</v>
      </c>
      <c r="G12" s="13">
        <v>5</v>
      </c>
      <c r="H12" s="3" t="s">
        <v>24</v>
      </c>
      <c r="I12" s="14">
        <v>700</v>
      </c>
      <c r="J12" s="15" cm="1">
        <f t="array" ref="J12">_xlfn.SWITCH(Table1[[#This Row],[Month]],"Jan",1,"Feb",2,"Mar",3,"Apr",4)</f>
        <v>3</v>
      </c>
      <c r="K12" s="1"/>
    </row>
    <row r="13" spans="1:11" ht="18" customHeight="1" x14ac:dyDescent="0.35">
      <c r="A13" s="18" t="s">
        <v>16</v>
      </c>
      <c r="B13" s="18" t="s">
        <v>21</v>
      </c>
      <c r="C13" s="18" t="s">
        <v>22</v>
      </c>
      <c r="D13" s="18" t="s">
        <v>23</v>
      </c>
      <c r="E13" s="19">
        <v>1350</v>
      </c>
      <c r="F13" s="19">
        <v>1380</v>
      </c>
      <c r="G13" s="19">
        <v>5</v>
      </c>
      <c r="H13" s="18" t="s">
        <v>24</v>
      </c>
      <c r="I13" s="20">
        <v>700</v>
      </c>
      <c r="J13" s="21" cm="1">
        <f t="array" ref="J13">_xlfn.SWITCH(Table1[[#This Row],[Month]],"Jan",1,"Feb",2,"Mar",3,"Apr",4)</f>
        <v>4</v>
      </c>
      <c r="K13" s="1"/>
    </row>
    <row r="14" spans="1:11" ht="18" customHeight="1" x14ac:dyDescent="0.35">
      <c r="A14" s="3" t="s">
        <v>9</v>
      </c>
      <c r="B14" s="3" t="s">
        <v>25</v>
      </c>
      <c r="C14" s="3" t="s">
        <v>26</v>
      </c>
      <c r="D14" s="3" t="s">
        <v>27</v>
      </c>
      <c r="E14" s="13">
        <v>300</v>
      </c>
      <c r="F14" s="13">
        <v>210</v>
      </c>
      <c r="G14" s="13">
        <v>14</v>
      </c>
      <c r="H14" s="3" t="s">
        <v>28</v>
      </c>
      <c r="I14" s="14">
        <v>15000</v>
      </c>
      <c r="J14" s="15" cm="1">
        <f t="array" ref="J14">_xlfn.SWITCH(Table1[[#This Row],[Month]],"Jan",1,"Feb",2,"Mar",3,"Apr",4)</f>
        <v>1</v>
      </c>
      <c r="K14" s="1"/>
    </row>
    <row r="15" spans="1:11" ht="18" customHeight="1" x14ac:dyDescent="0.35">
      <c r="A15" s="18" t="s">
        <v>14</v>
      </c>
      <c r="B15" s="18" t="s">
        <v>25</v>
      </c>
      <c r="C15" s="18" t="s">
        <v>26</v>
      </c>
      <c r="D15" s="18" t="s">
        <v>27</v>
      </c>
      <c r="E15" s="19">
        <v>290</v>
      </c>
      <c r="F15" s="19">
        <v>225</v>
      </c>
      <c r="G15" s="19">
        <v>14</v>
      </c>
      <c r="H15" s="18" t="s">
        <v>28</v>
      </c>
      <c r="I15" s="20">
        <v>15000</v>
      </c>
      <c r="J15" s="21" cm="1">
        <f t="array" ref="J15">_xlfn.SWITCH(Table1[[#This Row],[Month]],"Jan",1,"Feb",2,"Mar",3,"Apr",4)</f>
        <v>2</v>
      </c>
      <c r="K15" s="1"/>
    </row>
    <row r="16" spans="1:11" ht="18" customHeight="1" x14ac:dyDescent="0.35">
      <c r="A16" s="3" t="s">
        <v>15</v>
      </c>
      <c r="B16" s="3" t="s">
        <v>25</v>
      </c>
      <c r="C16" s="3" t="s">
        <v>26</v>
      </c>
      <c r="D16" s="3" t="s">
        <v>27</v>
      </c>
      <c r="E16" s="13">
        <v>270</v>
      </c>
      <c r="F16" s="13">
        <v>240</v>
      </c>
      <c r="G16" s="13">
        <v>14</v>
      </c>
      <c r="H16" s="3" t="s">
        <v>28</v>
      </c>
      <c r="I16" s="14">
        <v>15000</v>
      </c>
      <c r="J16" s="15" cm="1">
        <f t="array" ref="J16">_xlfn.SWITCH(Table1[[#This Row],[Month]],"Jan",1,"Feb",2,"Mar",3,"Apr",4)</f>
        <v>3</v>
      </c>
      <c r="K16" s="1"/>
    </row>
    <row r="17" spans="1:11" ht="18" customHeight="1" x14ac:dyDescent="0.35">
      <c r="A17" s="18" t="s">
        <v>16</v>
      </c>
      <c r="B17" s="18" t="s">
        <v>25</v>
      </c>
      <c r="C17" s="18" t="s">
        <v>26</v>
      </c>
      <c r="D17" s="18" t="s">
        <v>27</v>
      </c>
      <c r="E17" s="19">
        <v>250</v>
      </c>
      <c r="F17" s="19">
        <v>255</v>
      </c>
      <c r="G17" s="19">
        <v>14</v>
      </c>
      <c r="H17" s="18" t="s">
        <v>28</v>
      </c>
      <c r="I17" s="20">
        <v>15000</v>
      </c>
      <c r="J17" s="21" cm="1">
        <f t="array" ref="J17">_xlfn.SWITCH(Table1[[#This Row],[Month]],"Jan",1,"Feb",2,"Mar",3,"Apr",4)</f>
        <v>4</v>
      </c>
      <c r="K17" s="1"/>
    </row>
    <row r="18" spans="1:11" ht="18" customHeight="1" x14ac:dyDescent="0.35">
      <c r="A18" s="3" t="s">
        <v>9</v>
      </c>
      <c r="B18" s="3" t="s">
        <v>29</v>
      </c>
      <c r="C18" s="3" t="s">
        <v>30</v>
      </c>
      <c r="D18" s="3" t="s">
        <v>31</v>
      </c>
      <c r="E18" s="13">
        <v>200</v>
      </c>
      <c r="F18" s="13">
        <v>150</v>
      </c>
      <c r="G18" s="13">
        <v>21</v>
      </c>
      <c r="H18" s="3" t="s">
        <v>32</v>
      </c>
      <c r="I18" s="14">
        <v>12000</v>
      </c>
      <c r="J18" s="15" cm="1">
        <f t="array" ref="J18">_xlfn.SWITCH(Table1[[#This Row],[Month]],"Jan",1,"Feb",2,"Mar",3,"Apr",4)</f>
        <v>1</v>
      </c>
      <c r="K18" s="1"/>
    </row>
    <row r="19" spans="1:11" ht="18" customHeight="1" x14ac:dyDescent="0.35">
      <c r="A19" s="18" t="s">
        <v>14</v>
      </c>
      <c r="B19" s="18" t="s">
        <v>29</v>
      </c>
      <c r="C19" s="18" t="s">
        <v>30</v>
      </c>
      <c r="D19" s="18" t="s">
        <v>31</v>
      </c>
      <c r="E19" s="19">
        <v>190</v>
      </c>
      <c r="F19" s="19">
        <v>160</v>
      </c>
      <c r="G19" s="19">
        <v>21</v>
      </c>
      <c r="H19" s="18" t="s">
        <v>32</v>
      </c>
      <c r="I19" s="20">
        <v>12000</v>
      </c>
      <c r="J19" s="21" cm="1">
        <f t="array" ref="J19">_xlfn.SWITCH(Table1[[#This Row],[Month]],"Jan",1,"Feb",2,"Mar",3,"Apr",4)</f>
        <v>2</v>
      </c>
      <c r="K19" s="1"/>
    </row>
    <row r="20" spans="1:11" ht="18" customHeight="1" x14ac:dyDescent="0.35">
      <c r="A20" s="3" t="s">
        <v>15</v>
      </c>
      <c r="B20" s="3" t="s">
        <v>29</v>
      </c>
      <c r="C20" s="3" t="s">
        <v>30</v>
      </c>
      <c r="D20" s="3" t="s">
        <v>31</v>
      </c>
      <c r="E20" s="13">
        <v>180</v>
      </c>
      <c r="F20" s="13">
        <v>170</v>
      </c>
      <c r="G20" s="13">
        <v>21</v>
      </c>
      <c r="H20" s="3" t="s">
        <v>32</v>
      </c>
      <c r="I20" s="14">
        <v>12000</v>
      </c>
      <c r="J20" s="15" cm="1">
        <f t="array" ref="J20">_xlfn.SWITCH(Table1[[#This Row],[Month]],"Jan",1,"Feb",2,"Mar",3,"Apr",4)</f>
        <v>3</v>
      </c>
      <c r="K20" s="1"/>
    </row>
    <row r="21" spans="1:11" ht="18" customHeight="1" x14ac:dyDescent="0.35">
      <c r="A21" s="18" t="s">
        <v>16</v>
      </c>
      <c r="B21" s="18" t="s">
        <v>29</v>
      </c>
      <c r="C21" s="18" t="s">
        <v>30</v>
      </c>
      <c r="D21" s="18" t="s">
        <v>31</v>
      </c>
      <c r="E21" s="19">
        <v>170</v>
      </c>
      <c r="F21" s="19">
        <v>175</v>
      </c>
      <c r="G21" s="19">
        <v>21</v>
      </c>
      <c r="H21" s="18" t="s">
        <v>32</v>
      </c>
      <c r="I21" s="20">
        <v>12000</v>
      </c>
      <c r="J21" s="21" cm="1">
        <f t="array" ref="J21">_xlfn.SWITCH(Table1[[#This Row],[Month]],"Jan",1,"Feb",2,"Mar",3,"Apr",4)</f>
        <v>4</v>
      </c>
      <c r="K21" s="1"/>
    </row>
    <row r="22" spans="1:1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Inventory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2026-08-08T11:40:36Z</dcterms:created>
  <dcterms:modified xsi:type="dcterms:W3CDTF">2026-08-10T16:03:04Z</dcterms:modified>
</cp:coreProperties>
</file>