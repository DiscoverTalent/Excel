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15"/>
  <workbookPr/>
  <mc:AlternateContent xmlns:mc="http://schemas.openxmlformats.org/markup-compatibility/2006">
    <mc:Choice Requires="x15">
      <x15ac:absPath xmlns:x15ac="http://schemas.microsoft.com/office/spreadsheetml/2010/11/ac" url="C:\Users\DrVin\Downloads\"/>
    </mc:Choice>
  </mc:AlternateContent>
  <xr:revisionPtr revIDLastSave="0" documentId="8_{A927BC92-AFE1-4D31-97AC-706BAD79F26D}" xr6:coauthVersionLast="47" xr6:coauthVersionMax="47" xr10:uidLastSave="{00000000-0000-0000-0000-000000000000}"/>
  <bookViews>
    <workbookView xWindow="-110" yWindow="-110" windowWidth="19420" windowHeight="11500" xr2:uid="{00000000-000D-0000-FFFF-FFFF00000000}"/>
  </bookViews>
  <sheets>
    <sheet name="Sheet1" sheetId="1" r:id="rId1"/>
    <sheet name="Sheet5" sheetId="5" r:id="rId2"/>
    <sheet name="Dashboard" sheetId="3" r:id="rId3"/>
    <sheet name="Sheet4" sheetId="4" r:id="rId4"/>
  </sheets>
  <definedNames>
    <definedName name="Slicer_City_Area">#N/A</definedName>
    <definedName name="Slicer_Flag">#N/A</definedName>
    <definedName name="Slicer_Incident_ID">#N/A</definedName>
    <definedName name="Slicer_Priority">#N/A</definedName>
  </definedNames>
  <calcPr calcId="191028"/>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5"/>
        <x14:slicerCache r:id="rId6"/>
        <x14:slicerCache r:id="rId7"/>
        <x14:slicerCache r:id="rId8"/>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4" i="1" l="1"/>
  <c r="N3" i="1"/>
  <c r="N2" i="1"/>
  <c r="L7" i="1"/>
  <c r="L6" i="1"/>
  <c r="L5" i="1"/>
  <c r="L4" i="1"/>
  <c r="L3" i="1"/>
  <c r="L2" i="1"/>
  <c r="J2" i="1"/>
  <c r="J3" i="1"/>
  <c r="J4" i="1"/>
  <c r="J5" i="1"/>
  <c r="J6" i="1"/>
  <c r="J7" i="1"/>
  <c r="H2" i="1"/>
  <c r="G2" i="1"/>
  <c r="G3" i="1"/>
  <c r="G4" i="1"/>
  <c r="G5" i="1"/>
  <c r="G6" i="1"/>
  <c r="B2"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E5" i="1"/>
  <c r="E4" i="1"/>
  <c r="E3" i="1"/>
  <c r="E2" i="1"/>
</calcChain>
</file>

<file path=xl/sharedStrings.xml><?xml version="1.0" encoding="utf-8"?>
<sst xmlns="http://schemas.openxmlformats.org/spreadsheetml/2006/main" count="365" uniqueCount="93">
  <si>
    <t>Incident_ID</t>
  </si>
  <si>
    <t>Date</t>
  </si>
  <si>
    <t>City Area</t>
  </si>
  <si>
    <t>Incident Type</t>
  </si>
  <si>
    <t>Priority</t>
  </si>
  <si>
    <t>Response Time (Min)</t>
  </si>
  <si>
    <t>Units Dispatched</t>
  </si>
  <si>
    <t>Resolved (Yes/No)</t>
  </si>
  <si>
    <t>PS-001</t>
  </si>
  <si>
    <t>Downtown</t>
  </si>
  <si>
    <t>Traffic Accident</t>
  </si>
  <si>
    <t>High</t>
  </si>
  <si>
    <t>Yes</t>
  </si>
  <si>
    <t>PS-002</t>
  </si>
  <si>
    <t>North Zone</t>
  </si>
  <si>
    <t>Fire Alert</t>
  </si>
  <si>
    <t>Critical</t>
  </si>
  <si>
    <t>PS-003</t>
  </si>
  <si>
    <t>East Side</t>
  </si>
  <si>
    <t>Medical Emergency</t>
  </si>
  <si>
    <t>PS-004</t>
  </si>
  <si>
    <t>South Zone</t>
  </si>
  <si>
    <t>Theft</t>
  </si>
  <si>
    <t>Medium</t>
  </si>
  <si>
    <t>PS-005</t>
  </si>
  <si>
    <t>Assault</t>
  </si>
  <si>
    <t>PS-006</t>
  </si>
  <si>
    <t>West End</t>
  </si>
  <si>
    <t>PS-007</t>
  </si>
  <si>
    <t>PS-008</t>
  </si>
  <si>
    <t>PS-009</t>
  </si>
  <si>
    <t>Robbery</t>
  </si>
  <si>
    <t>PS-010</t>
  </si>
  <si>
    <t>PS-011</t>
  </si>
  <si>
    <t>Low</t>
  </si>
  <si>
    <t>PS-012</t>
  </si>
  <si>
    <t>PS-013</t>
  </si>
  <si>
    <t>PS-014</t>
  </si>
  <si>
    <t>PS-015</t>
  </si>
  <si>
    <t>No</t>
  </si>
  <si>
    <t>PS-016</t>
  </si>
  <si>
    <t>PS-017</t>
  </si>
  <si>
    <t>PS-018</t>
  </si>
  <si>
    <t>PS-019</t>
  </si>
  <si>
    <t>PS-020</t>
  </si>
  <si>
    <t>PS-021</t>
  </si>
  <si>
    <t>PS-022</t>
  </si>
  <si>
    <t>PS-023</t>
  </si>
  <si>
    <t>PS-024</t>
  </si>
  <si>
    <t>PS-025</t>
  </si>
  <si>
    <t>PS-026</t>
  </si>
  <si>
    <t>PS-027</t>
  </si>
  <si>
    <t>PS-028</t>
  </si>
  <si>
    <t>PS-029</t>
  </si>
  <si>
    <t>Flag</t>
  </si>
  <si>
    <t>Priority Avg Response Time</t>
  </si>
  <si>
    <t>Avg Response Time (Min)</t>
  </si>
  <si>
    <t>Count Incidents</t>
  </si>
  <si>
    <t>Avg Cnt</t>
  </si>
  <si>
    <t>High Risk Areas</t>
  </si>
  <si>
    <t>Incident Distribution</t>
  </si>
  <si>
    <t>Traffic Accident:</t>
  </si>
  <si>
    <t>Fire Alert:</t>
  </si>
  <si>
    <t>Count</t>
  </si>
  <si>
    <t>unit dispatched analysis</t>
  </si>
  <si>
    <t>avg count</t>
  </si>
  <si>
    <t>Count of Inc</t>
  </si>
  <si>
    <t>%</t>
  </si>
  <si>
    <t>count</t>
  </si>
  <si>
    <t>type</t>
  </si>
  <si>
    <r>
      <t>Subject:</t>
    </r>
    <r>
      <rPr>
        <sz val="7"/>
        <color theme="1"/>
        <rFont val="Segoe UI"/>
        <family val="2"/>
      </rPr>
      <t xml:space="preserve"> Executive Summary – Public Safety Incident Analysis (Jan 2025)</t>
    </r>
  </si>
  <si>
    <t>Dear Senior Leadership Team,</t>
  </si>
  <si>
    <t>I am sharing a summary of our public safety incident data for January 2025, highlighting operational performance, geographic trends, and actionable recommendations for strategic decision-making.</t>
  </si>
  <si>
    <t>Executive Summary</t>
  </si>
  <si>
    <t>Incident Distribution &amp; Types</t>
  </si>
  <si>
    <t>The most frequent incidents were Traffic Accidents, Fire Alerts, and Medical Emergencies, indicating persistent public safety risks in urban zones.</t>
  </si>
  <si>
    <t>Geographic Hotspots</t>
  </si>
  <si>
    <t>Downtown and North Zone reported the highest volume of high and critical priority incidents, suggesting these areas require targeted resource allocation and preventive measures.</t>
  </si>
  <si>
    <t>Response Performance</t>
  </si>
  <si>
    <t>The average response time across all incidents was approximately 14.34 minutes.</t>
  </si>
  <si>
    <t>Critical incidents received the fastest responses (average 6.33 minutes), while low-priority incidents averaged 27.5 minutes.</t>
  </si>
  <si>
    <t>The number of units dispatched varied by incident type, with critical events typically requiring more resources.</t>
  </si>
  <si>
    <t>Resolution Rate</t>
  </si>
  <si>
    <t>The vast majority of incidents were resolved; however, a small percentage remain unresolved, primarily in high-risk categories such as Robbery and Assault.</t>
  </si>
  <si>
    <t>Several incidents were flagged with response times exceeding 15 minutes, indicating potential delays in service delivery.</t>
  </si>
  <si>
    <t>Key Recommendations</t>
  </si>
  <si>
    <r>
      <t>Resource Optimization:</t>
    </r>
    <r>
      <rPr>
        <sz val="7"/>
        <color theme="1"/>
        <rFont val="Segoe UI"/>
        <family val="2"/>
      </rPr>
      <t xml:space="preserve"> Prioritize deployment of emergency response resources in Downtown and North Zone to address the most urgent public safety risks efficiently.</t>
    </r>
  </si>
  <si>
    <r>
      <t>Performance Monitoring:</t>
    </r>
    <r>
      <rPr>
        <sz val="7"/>
        <color theme="1"/>
        <rFont val="Segoe UI"/>
        <family val="2"/>
      </rPr>
      <t xml:space="preserve"> Continue tracking response times and unresolved cases to identify trends and improve service levels.</t>
    </r>
  </si>
  <si>
    <r>
      <t>Preventive Strategies:</t>
    </r>
    <r>
      <rPr>
        <sz val="7"/>
        <color theme="1"/>
        <rFont val="Segoe UI"/>
        <family val="2"/>
      </rPr>
      <t xml:space="preserve"> Analyze frequent incident types (such as Traffic Accident and Fire Alert) for root causes and develop targeted interventions.</t>
    </r>
  </si>
  <si>
    <t>Please let me know if you require further analysis, visualizations, or a deeper dive into specific areas.</t>
  </si>
  <si>
    <t>Best regards,</t>
  </si>
  <si>
    <t>[Your Name]</t>
  </si>
  <si>
    <t>[Your Position]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</si>
</sst>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ptos Narrow"/>
      <family val="2"/>
      <scheme val="minor"/>
    </font>
    <font>
      <b/>
      <sz val="8"/>
      <color theme="1"/>
      <name val="Aptos Narrow"/>
      <family val="2"/>
      <scheme val="minor"/>
    </font>
    <font>
      <sz val="8"/>
      <color theme="1"/>
      <name val="Aptos Narrow"/>
      <family val="2"/>
      <scheme val="minor"/>
    </font>
    <font>
      <sz val="7"/>
      <color theme="1"/>
      <name val="Segoe UI"/>
      <family val="2"/>
    </font>
    <font>
      <sz val="9"/>
      <color theme="1"/>
      <name val="Aptos Narrow"/>
      <family val="2"/>
      <scheme val="minor"/>
    </font>
    <font>
      <sz val="9"/>
      <color theme="1"/>
      <name val="Segoe UI"/>
      <family val="2"/>
    </font>
    <font>
      <b/>
      <sz val="9"/>
      <color theme="1"/>
      <name val="Aptos Narrow"/>
      <family val="2"/>
      <scheme val="minor"/>
    </font>
    <font>
      <b/>
      <sz val="14"/>
      <color theme="1"/>
      <name val="Aptos Narrow"/>
      <family val="2"/>
      <scheme val="minor"/>
    </font>
    <font>
      <b/>
      <sz val="7"/>
      <color theme="1"/>
      <name val="Segoe UI"/>
      <family val="2"/>
    </font>
  </fonts>
  <fills count="4">
    <fill>
      <patternFill patternType="none"/>
    </fill>
    <fill>
      <patternFill patternType="gray125"/>
    </fill>
    <fill>
      <patternFill patternType="solid">
        <fgColor theme="0"/>
        <bgColor indexed="64"/>
      </patternFill>
    </fill>
    <fill>
      <patternFill patternType="solid">
        <fgColor theme="7" tint="0.79998168889431442"/>
        <bgColor indexed="64"/>
      </patternFill>
    </fill>
  </fills>
  <borders count="1">
    <border>
      <left/>
      <right/>
      <top/>
      <bottom/>
      <diagonal/>
    </border>
  </borders>
  <cellStyleXfs count="1">
    <xf numFmtId="0" fontId="0" fillId="0" borderId="0"/>
  </cellStyleXfs>
  <cellXfs count="22">
    <xf numFmtId="0" fontId="0" fillId="0" borderId="0" xfId="0"/>
    <xf numFmtId="0" fontId="1" fillId="0" borderId="0" xfId="0" applyFont="1"/>
    <xf numFmtId="0" fontId="2" fillId="0" borderId="0" xfId="0" applyFont="1"/>
    <xf numFmtId="14" fontId="2" fillId="0" borderId="0" xfId="0" applyNumberFormat="1" applyFont="1"/>
    <xf numFmtId="0" fontId="0" fillId="0" borderId="0" xfId="0" applyAlignment="1">
      <alignment vertical="center"/>
    </xf>
    <xf numFmtId="0" fontId="3" fillId="0" borderId="0" xfId="0" applyFont="1" applyAlignment="1">
      <alignment vertical="center"/>
    </xf>
    <xf numFmtId="0" fontId="2" fillId="0" borderId="0" xfId="0" applyFont="1" applyAlignment="1">
      <alignment vertical="center"/>
    </xf>
    <xf numFmtId="0" fontId="4" fillId="0" borderId="0" xfId="0" applyFont="1"/>
    <xf numFmtId="0" fontId="6" fillId="0" borderId="0" xfId="0" applyFont="1" applyAlignment="1">
      <alignment horizontal="center"/>
    </xf>
    <xf numFmtId="2" fontId="4" fillId="0" borderId="0" xfId="0" applyNumberFormat="1" applyFont="1"/>
    <xf numFmtId="2" fontId="5" fillId="0" borderId="0" xfId="0" applyNumberFormat="1" applyFont="1" applyAlignment="1">
      <alignment vertical="center"/>
    </xf>
    <xf numFmtId="2" fontId="7" fillId="0" borderId="0" xfId="0" applyNumberFormat="1" applyFont="1" applyAlignment="1">
      <alignment horizontal="center" vertical="center"/>
    </xf>
    <xf numFmtId="0" fontId="4" fillId="0" borderId="0" xfId="0" applyFont="1" applyAlignment="1">
      <alignment horizontal="center" vertical="center"/>
    </xf>
    <xf numFmtId="0" fontId="6" fillId="0" borderId="0" xfId="0" applyFont="1"/>
    <xf numFmtId="2" fontId="0" fillId="0" borderId="0" xfId="0" applyNumberFormat="1"/>
    <xf numFmtId="0" fontId="0" fillId="2" borderId="0" xfId="0" applyFill="1"/>
    <xf numFmtId="0" fontId="0" fillId="3" borderId="0" xfId="0" applyFill="1"/>
    <xf numFmtId="0" fontId="8" fillId="0" borderId="0" xfId="0" applyFont="1" applyAlignment="1">
      <alignment vertical="center"/>
    </xf>
    <xf numFmtId="0" fontId="0" fillId="0" borderId="0" xfId="0" applyAlignment="1">
      <alignment horizontal="left" vertical="center" indent="1"/>
    </xf>
    <xf numFmtId="0" fontId="3" fillId="0" borderId="0" xfId="0" applyFont="1" applyAlignment="1">
      <alignment horizontal="left" vertical="center" indent="1"/>
    </xf>
    <xf numFmtId="0" fontId="8" fillId="0" borderId="0" xfId="0" applyFont="1" applyAlignment="1">
      <alignment horizontal="left" vertical="center" indent="1"/>
    </xf>
    <xf numFmtId="14" fontId="0" fillId="0" borderId="0" xfId="0" applyNumberFormat="1"/>
  </cellXfs>
  <cellStyles count="1">
    <cellStyle name="Normal" xfId="0" builtinId="0"/>
  </cellStyles>
  <dxfs count="11">
    <dxf>
      <font>
        <b val="0"/>
        <i val="0"/>
        <strike val="0"/>
        <condense val="0"/>
        <extend val="0"/>
        <outline val="0"/>
        <shadow val="0"/>
        <u val="none"/>
        <vertAlign val="baseline"/>
        <sz val="8"/>
        <color theme="1"/>
        <name val="Aptos Narrow"/>
        <family val="2"/>
        <scheme val="minor"/>
      </font>
      <numFmt numFmtId="0" formatCode="General"/>
    </dxf>
    <dxf>
      <font>
        <b val="0"/>
        <i val="0"/>
        <strike val="0"/>
        <condense val="0"/>
        <extend val="0"/>
        <outline val="0"/>
        <shadow val="0"/>
        <u val="none"/>
        <vertAlign val="baseline"/>
        <sz val="8"/>
        <color theme="1"/>
        <name val="Aptos Narrow"/>
        <family val="2"/>
        <scheme val="minor"/>
      </font>
    </dxf>
    <dxf>
      <font>
        <b val="0"/>
        <i val="0"/>
        <strike val="0"/>
        <condense val="0"/>
        <extend val="0"/>
        <outline val="0"/>
        <shadow val="0"/>
        <u val="none"/>
        <vertAlign val="baseline"/>
        <sz val="8"/>
        <color theme="1"/>
        <name val="Aptos Narrow"/>
        <family val="2"/>
        <scheme val="minor"/>
      </font>
    </dxf>
    <dxf>
      <font>
        <b val="0"/>
        <i val="0"/>
        <strike val="0"/>
        <condense val="0"/>
        <extend val="0"/>
        <outline val="0"/>
        <shadow val="0"/>
        <u val="none"/>
        <vertAlign val="baseline"/>
        <sz val="8"/>
        <color theme="1"/>
        <name val="Aptos Narrow"/>
        <family val="2"/>
        <scheme val="minor"/>
      </font>
    </dxf>
    <dxf>
      <font>
        <b val="0"/>
        <i val="0"/>
        <strike val="0"/>
        <condense val="0"/>
        <extend val="0"/>
        <outline val="0"/>
        <shadow val="0"/>
        <u val="none"/>
        <vertAlign val="baseline"/>
        <sz val="8"/>
        <color theme="1"/>
        <name val="Aptos Narrow"/>
        <family val="2"/>
        <scheme val="minor"/>
      </font>
    </dxf>
    <dxf>
      <font>
        <b val="0"/>
        <i val="0"/>
        <strike val="0"/>
        <condense val="0"/>
        <extend val="0"/>
        <outline val="0"/>
        <shadow val="0"/>
        <u val="none"/>
        <vertAlign val="baseline"/>
        <sz val="8"/>
        <color theme="1"/>
        <name val="Aptos Narrow"/>
        <family val="2"/>
        <scheme val="minor"/>
      </font>
    </dxf>
    <dxf>
      <font>
        <b val="0"/>
        <i val="0"/>
        <strike val="0"/>
        <condense val="0"/>
        <extend val="0"/>
        <outline val="0"/>
        <shadow val="0"/>
        <u val="none"/>
        <vertAlign val="baseline"/>
        <sz val="8"/>
        <color theme="1"/>
        <name val="Aptos Narrow"/>
        <family val="2"/>
        <scheme val="minor"/>
      </font>
    </dxf>
    <dxf>
      <font>
        <b val="0"/>
        <i val="0"/>
        <strike val="0"/>
        <condense val="0"/>
        <extend val="0"/>
        <outline val="0"/>
        <shadow val="0"/>
        <u val="none"/>
        <vertAlign val="baseline"/>
        <sz val="8"/>
        <color theme="1"/>
        <name val="Aptos Narrow"/>
        <family val="2"/>
        <scheme val="minor"/>
      </font>
      <numFmt numFmtId="164" formatCode="m/d/yyyy"/>
    </dxf>
    <dxf>
      <font>
        <b val="0"/>
        <i val="0"/>
        <strike val="0"/>
        <condense val="0"/>
        <extend val="0"/>
        <outline val="0"/>
        <shadow val="0"/>
        <u val="none"/>
        <vertAlign val="baseline"/>
        <sz val="8"/>
        <color theme="1"/>
        <name val="Aptos Narrow"/>
        <family val="2"/>
        <scheme val="minor"/>
      </font>
    </dxf>
    <dxf>
      <font>
        <b val="0"/>
        <i val="0"/>
        <strike val="0"/>
        <condense val="0"/>
        <extend val="0"/>
        <outline val="0"/>
        <shadow val="0"/>
        <u val="none"/>
        <vertAlign val="baseline"/>
        <sz val="8"/>
        <color theme="1"/>
        <name val="Aptos Narrow"/>
        <family val="2"/>
        <scheme val="minor"/>
      </font>
    </dxf>
    <dxf>
      <font>
        <b/>
        <i val="0"/>
        <strike val="0"/>
        <condense val="0"/>
        <extend val="0"/>
        <outline val="0"/>
        <shadow val="0"/>
        <u val="none"/>
        <vertAlign val="baseline"/>
        <sz val="8"/>
        <color theme="1"/>
        <name val="Aptos Narrow"/>
        <family val="2"/>
        <scheme val="minor"/>
      </font>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Sheet1!$E$1</c:f>
              <c:strCache>
                <c:ptCount val="1"/>
              </c:strCache>
            </c:strRef>
          </c:tx>
          <c:spPr>
            <a:solidFill>
              <a:schemeClr val="accent1"/>
            </a:solidFill>
            <a:ln>
              <a:noFill/>
            </a:ln>
            <a:effectLst/>
          </c:spPr>
          <c:invertIfNegative val="0"/>
          <c:cat>
            <c:strRef>
              <c:f>Sheet1!$D$2:$D$5</c:f>
              <c:strCache>
                <c:ptCount val="4"/>
                <c:pt idx="0">
                  <c:v>Critical</c:v>
                </c:pt>
                <c:pt idx="1">
                  <c:v>High</c:v>
                </c:pt>
                <c:pt idx="2">
                  <c:v>Medium</c:v>
                </c:pt>
                <c:pt idx="3">
                  <c:v>Low</c:v>
                </c:pt>
              </c:strCache>
            </c:strRef>
          </c:cat>
          <c:val>
            <c:numRef>
              <c:f>Sheet1!$E$2:$E$5</c:f>
              <c:numCache>
                <c:formatCode>0.00</c:formatCode>
                <c:ptCount val="4"/>
                <c:pt idx="0">
                  <c:v>6.333333333333333</c:v>
                </c:pt>
                <c:pt idx="1">
                  <c:v>12.444444444444445</c:v>
                </c:pt>
                <c:pt idx="2">
                  <c:v>19.571428571428573</c:v>
                </c:pt>
                <c:pt idx="3">
                  <c:v>27.5</c:v>
                </c:pt>
              </c:numCache>
            </c:numRef>
          </c:val>
          <c:extLst>
            <c:ext xmlns:c16="http://schemas.microsoft.com/office/drawing/2014/chart" uri="{C3380CC4-5D6E-409C-BE32-E72D297353CC}">
              <c16:uniqueId val="{00000000-4366-4594-9508-AA6E47397502}"/>
            </c:ext>
          </c:extLst>
        </c:ser>
        <c:dLbls>
          <c:showLegendKey val="0"/>
          <c:showVal val="0"/>
          <c:showCatName val="0"/>
          <c:showSerName val="0"/>
          <c:showPercent val="0"/>
          <c:showBubbleSize val="0"/>
        </c:dLbls>
        <c:gapWidth val="219"/>
        <c:overlap val="-27"/>
        <c:axId val="1121255744"/>
        <c:axId val="1121256240"/>
      </c:barChart>
      <c:catAx>
        <c:axId val="1121255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1256240"/>
        <c:crosses val="autoZero"/>
        <c:auto val="1"/>
        <c:lblAlgn val="ctr"/>
        <c:lblOffset val="100"/>
        <c:noMultiLvlLbl val="0"/>
      </c:catAx>
      <c:valAx>
        <c:axId val="1121256240"/>
        <c:scaling>
          <c:orientation val="minMax"/>
        </c:scaling>
        <c:delete val="1"/>
        <c:axPos val="l"/>
        <c:numFmt formatCode="0.00" sourceLinked="1"/>
        <c:majorTickMark val="none"/>
        <c:minorTickMark val="none"/>
        <c:tickLblPos val="nextTo"/>
        <c:crossAx val="112125574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tx>
            <c:strRef>
              <c:f>Sheet1!$G$1</c:f>
              <c:strCache>
                <c:ptCount val="1"/>
                <c:pt idx="0">
                  <c:v>Avg Cnt</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7000-41E5-AC4C-856A971CBA2C}"/>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7000-41E5-AC4C-856A971CBA2C}"/>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7000-41E5-AC4C-856A971CBA2C}"/>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7000-41E5-AC4C-856A971CBA2C}"/>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7000-41E5-AC4C-856A971CBA2C}"/>
              </c:ext>
            </c:extLst>
          </c:dPt>
          <c:dLbls>
            <c:delete val="1"/>
            <c:extLst/>
          </c:dLbls>
          <c:cat>
            <c:strRef>
              <c:f>Sheet1!$F$2:$F$6</c:f>
              <c:strCache>
                <c:ptCount val="5"/>
                <c:pt idx="0">
                  <c:v>Downtown</c:v>
                </c:pt>
                <c:pt idx="1">
                  <c:v>North Zone</c:v>
                </c:pt>
                <c:pt idx="2">
                  <c:v>East Side</c:v>
                </c:pt>
                <c:pt idx="3">
                  <c:v>South Zone</c:v>
                </c:pt>
                <c:pt idx="4">
                  <c:v>West End</c:v>
                </c:pt>
              </c:strCache>
            </c:strRef>
          </c:cat>
          <c:val>
            <c:numRef>
              <c:f>Sheet1!$G$2:$G$6</c:f>
              <c:numCache>
                <c:formatCode>General</c:formatCode>
                <c:ptCount val="5"/>
                <c:pt idx="0">
                  <c:v>7</c:v>
                </c:pt>
                <c:pt idx="1">
                  <c:v>6</c:v>
                </c:pt>
                <c:pt idx="2">
                  <c:v>6</c:v>
                </c:pt>
                <c:pt idx="3">
                  <c:v>5</c:v>
                </c:pt>
                <c:pt idx="4">
                  <c:v>5</c:v>
                </c:pt>
              </c:numCache>
            </c:numRef>
          </c:val>
          <c:extLst>
            <c:ext xmlns:c16="http://schemas.microsoft.com/office/drawing/2014/chart" uri="{C3380CC4-5D6E-409C-BE32-E72D297353CC}">
              <c16:uniqueId val="{0000000A-7000-41E5-AC4C-856A971CBA2C}"/>
            </c:ext>
          </c:extLst>
        </c:ser>
        <c:dLbls>
          <c:dLblPos val="outEnd"/>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8888888888888892E-2"/>
          <c:y val="8.7962962962962965E-2"/>
          <c:w val="0.82777777777777783"/>
          <c:h val="0.76388888888888884"/>
        </c:manualLayout>
      </c:layout>
      <c:lineChart>
        <c:grouping val="standard"/>
        <c:varyColors val="0"/>
        <c:ser>
          <c:idx val="0"/>
          <c:order val="0"/>
          <c:tx>
            <c:strRef>
              <c:f>Sheet1!$J$1</c:f>
              <c:strCache>
                <c:ptCount val="1"/>
                <c:pt idx="0">
                  <c:v>Count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1"/>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Sheet1!$I$2:$I$7</c:f>
              <c:strCache>
                <c:ptCount val="6"/>
                <c:pt idx="0">
                  <c:v>Traffic Accident:</c:v>
                </c:pt>
                <c:pt idx="1">
                  <c:v>Fire Alert:</c:v>
                </c:pt>
                <c:pt idx="2">
                  <c:v>Medical Emergency</c:v>
                </c:pt>
                <c:pt idx="3">
                  <c:v>Theft</c:v>
                </c:pt>
                <c:pt idx="4">
                  <c:v>Assault</c:v>
                </c:pt>
                <c:pt idx="5">
                  <c:v>Robbery</c:v>
                </c:pt>
              </c:strCache>
            </c:strRef>
          </c:cat>
          <c:val>
            <c:numRef>
              <c:f>Sheet1!$J$2:$J$7</c:f>
              <c:numCache>
                <c:formatCode>General</c:formatCode>
                <c:ptCount val="6"/>
                <c:pt idx="0">
                  <c:v>6</c:v>
                </c:pt>
                <c:pt idx="1">
                  <c:v>5</c:v>
                </c:pt>
                <c:pt idx="2">
                  <c:v>5</c:v>
                </c:pt>
                <c:pt idx="3">
                  <c:v>5</c:v>
                </c:pt>
                <c:pt idx="4">
                  <c:v>4</c:v>
                </c:pt>
                <c:pt idx="5">
                  <c:v>4</c:v>
                </c:pt>
              </c:numCache>
            </c:numRef>
          </c:val>
          <c:smooth val="0"/>
          <c:extLst>
            <c:ext xmlns:c16="http://schemas.microsoft.com/office/drawing/2014/chart" uri="{C3380CC4-5D6E-409C-BE32-E72D297353CC}">
              <c16:uniqueId val="{00000000-FFE0-4C60-B683-71CD0B2FBC5B}"/>
            </c:ext>
          </c:extLst>
        </c:ser>
        <c:dLbls>
          <c:dLblPos val="t"/>
          <c:showLegendKey val="0"/>
          <c:showVal val="1"/>
          <c:showCatName val="0"/>
          <c:showSerName val="0"/>
          <c:showPercent val="0"/>
          <c:showBubbleSize val="0"/>
        </c:dLbls>
        <c:marker val="1"/>
        <c:smooth val="0"/>
        <c:axId val="1121779360"/>
        <c:axId val="1121776384"/>
      </c:lineChart>
      <c:catAx>
        <c:axId val="1121779360"/>
        <c:scaling>
          <c:orientation val="minMax"/>
        </c:scaling>
        <c:delete val="1"/>
        <c:axPos val="b"/>
        <c:numFmt formatCode="General" sourceLinked="1"/>
        <c:majorTickMark val="none"/>
        <c:minorTickMark val="none"/>
        <c:tickLblPos val="nextTo"/>
        <c:crossAx val="1121776384"/>
        <c:crosses val="autoZero"/>
        <c:auto val="1"/>
        <c:lblAlgn val="ctr"/>
        <c:lblOffset val="100"/>
        <c:noMultiLvlLbl val="0"/>
      </c:catAx>
      <c:valAx>
        <c:axId val="1121776384"/>
        <c:scaling>
          <c:orientation val="minMax"/>
        </c:scaling>
        <c:delete val="1"/>
        <c:axPos val="l"/>
        <c:numFmt formatCode="General" sourceLinked="1"/>
        <c:majorTickMark val="none"/>
        <c:minorTickMark val="none"/>
        <c:tickLblPos val="nextTo"/>
        <c:crossAx val="11217793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tx>
            <c:strRef>
              <c:f>Sheet1!$G$1</c:f>
              <c:strCache>
                <c:ptCount val="1"/>
                <c:pt idx="0">
                  <c:v>Avg Cnt</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B149-473F-B29A-000421877AA1}"/>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B149-473F-B29A-000421877AA1}"/>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B149-473F-B29A-000421877AA1}"/>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B149-473F-B29A-000421877AA1}"/>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B149-473F-B29A-000421877AA1}"/>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Sheet1!$F$2:$F$6</c:f>
              <c:strCache>
                <c:ptCount val="5"/>
                <c:pt idx="0">
                  <c:v>Downtown</c:v>
                </c:pt>
                <c:pt idx="1">
                  <c:v>North Zone</c:v>
                </c:pt>
                <c:pt idx="2">
                  <c:v>East Side</c:v>
                </c:pt>
                <c:pt idx="3">
                  <c:v>South Zone</c:v>
                </c:pt>
                <c:pt idx="4">
                  <c:v>West End</c:v>
                </c:pt>
              </c:strCache>
            </c:strRef>
          </c:cat>
          <c:val>
            <c:numRef>
              <c:f>Sheet1!$G$2:$G$6</c:f>
              <c:numCache>
                <c:formatCode>General</c:formatCode>
                <c:ptCount val="5"/>
                <c:pt idx="0">
                  <c:v>7</c:v>
                </c:pt>
                <c:pt idx="1">
                  <c:v>6</c:v>
                </c:pt>
                <c:pt idx="2">
                  <c:v>6</c:v>
                </c:pt>
                <c:pt idx="3">
                  <c:v>5</c:v>
                </c:pt>
                <c:pt idx="4">
                  <c:v>5</c:v>
                </c:pt>
              </c:numCache>
            </c:numRef>
          </c:val>
          <c:extLst>
            <c:ext xmlns:c16="http://schemas.microsoft.com/office/drawing/2014/chart" uri="{C3380CC4-5D6E-409C-BE32-E72D297353CC}">
              <c16:uniqueId val="{0000000A-B149-473F-B29A-000421877AA1}"/>
            </c:ext>
          </c:extLst>
        </c:ser>
        <c:dLbls>
          <c:dLblPos val="outEnd"/>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Sheet1!$L$1</c:f>
              <c:strCache>
                <c:ptCount val="1"/>
                <c:pt idx="0">
                  <c:v>avg count</c:v>
                </c:pt>
              </c:strCache>
            </c:strRef>
          </c:tx>
          <c:spPr>
            <a:solidFill>
              <a:schemeClr val="accent1"/>
            </a:solidFill>
            <a:ln>
              <a:noFill/>
            </a:ln>
            <a:effectLst>
              <a:outerShdw blurRad="254000" sx="102000" sy="102000" algn="ctr" rotWithShape="0">
                <a:prstClr val="black">
                  <a:alpha val="20000"/>
                </a:prstClr>
              </a:outerShdw>
            </a:effectLst>
          </c:spPr>
          <c:invertIfNegative val="0"/>
          <c:dPt>
            <c:idx val="0"/>
            <c:invertIfNegative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D082-4C06-9DBF-7C8C9CDDACBA}"/>
              </c:ext>
            </c:extLst>
          </c:dPt>
          <c:dPt>
            <c:idx val="1"/>
            <c:invertIfNegative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D082-4C06-9DBF-7C8C9CDDACBA}"/>
              </c:ext>
            </c:extLst>
          </c:dPt>
          <c:dPt>
            <c:idx val="2"/>
            <c:invertIfNegative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D082-4C06-9DBF-7C8C9CDDACBA}"/>
              </c:ext>
            </c:extLst>
          </c:dPt>
          <c:dPt>
            <c:idx val="3"/>
            <c:invertIfNegative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D082-4C06-9DBF-7C8C9CDDACBA}"/>
              </c:ext>
            </c:extLst>
          </c:dPt>
          <c:dPt>
            <c:idx val="4"/>
            <c:invertIfNegative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D082-4C06-9DBF-7C8C9CDDACBA}"/>
              </c:ext>
            </c:extLst>
          </c:dPt>
          <c:dPt>
            <c:idx val="5"/>
            <c:invertIfNegative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D082-4C06-9DBF-7C8C9CDDACBA}"/>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Sheet1!$K$2:$K$7</c:f>
              <c:strCache>
                <c:ptCount val="6"/>
                <c:pt idx="0">
                  <c:v>Traffic Accident:</c:v>
                </c:pt>
                <c:pt idx="1">
                  <c:v>Fire Alert:</c:v>
                </c:pt>
                <c:pt idx="2">
                  <c:v>Medical Emergency</c:v>
                </c:pt>
                <c:pt idx="3">
                  <c:v>Theft</c:v>
                </c:pt>
                <c:pt idx="4">
                  <c:v>Assault</c:v>
                </c:pt>
                <c:pt idx="5">
                  <c:v>Robbery</c:v>
                </c:pt>
              </c:strCache>
            </c:strRef>
          </c:cat>
          <c:val>
            <c:numRef>
              <c:f>Sheet1!$L$2:$L$7</c:f>
              <c:numCache>
                <c:formatCode>0.00</c:formatCode>
                <c:ptCount val="6"/>
                <c:pt idx="0">
                  <c:v>2.1666666666666665</c:v>
                </c:pt>
                <c:pt idx="1">
                  <c:v>5</c:v>
                </c:pt>
                <c:pt idx="2">
                  <c:v>3.8</c:v>
                </c:pt>
                <c:pt idx="3">
                  <c:v>1.2</c:v>
                </c:pt>
                <c:pt idx="4">
                  <c:v>2.75</c:v>
                </c:pt>
                <c:pt idx="5">
                  <c:v>4</c:v>
                </c:pt>
              </c:numCache>
            </c:numRef>
          </c:val>
          <c:extLst>
            <c:ext xmlns:c16="http://schemas.microsoft.com/office/drawing/2014/chart" uri="{C3380CC4-5D6E-409C-BE32-E72D297353CC}">
              <c16:uniqueId val="{0000000C-D082-4C06-9DBF-7C8C9CDDACBA}"/>
            </c:ext>
          </c:extLst>
        </c:ser>
        <c:dLbls>
          <c:showLegendKey val="0"/>
          <c:showVal val="0"/>
          <c:showCatName val="0"/>
          <c:showSerName val="0"/>
          <c:showPercent val="0"/>
          <c:showBubbleSize val="0"/>
        </c:dLbls>
        <c:gapWidth val="100"/>
        <c:overlap val="100"/>
        <c:axId val="1088758048"/>
        <c:axId val="1121781984"/>
      </c:barChart>
      <c:catAx>
        <c:axId val="1088758048"/>
        <c:scaling>
          <c:orientation val="minMax"/>
        </c:scaling>
        <c:delete val="0"/>
        <c:axPos val="b"/>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800" b="0" i="0" u="none" strike="noStrike" kern="1200" cap="all" baseline="0">
                <a:solidFill>
                  <a:schemeClr val="dk1">
                    <a:lumMod val="75000"/>
                    <a:lumOff val="25000"/>
                  </a:schemeClr>
                </a:solidFill>
                <a:latin typeface="+mn-lt"/>
                <a:ea typeface="+mn-ea"/>
                <a:cs typeface="+mn-cs"/>
              </a:defRPr>
            </a:pPr>
            <a:endParaRPr lang="en-US"/>
          </a:p>
        </c:txPr>
        <c:crossAx val="1121781984"/>
        <c:auto val="1"/>
        <c:lblAlgn val="ctr"/>
        <c:lblOffset val="100"/>
        <c:noMultiLvlLbl val="0"/>
      </c:catAx>
      <c:valAx>
        <c:axId val="1121781984"/>
        <c:scaling>
          <c:orientation val="minMax"/>
        </c:scaling>
        <c:delete val="1"/>
        <c:axPos val="l"/>
        <c:numFmt formatCode="0.00" sourceLinked="1"/>
        <c:majorTickMark val="out"/>
        <c:minorTickMark val="none"/>
        <c:tickLblPos val="nextTo"/>
        <c:crossAx val="1088758048"/>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800"/>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152400</xdr:colOff>
      <xdr:row>5</xdr:row>
      <xdr:rowOff>107950</xdr:rowOff>
    </xdr:from>
    <xdr:to>
      <xdr:col>7</xdr:col>
      <xdr:colOff>311150</xdr:colOff>
      <xdr:row>16</xdr:row>
      <xdr:rowOff>120650</xdr:rowOff>
    </xdr:to>
    <xdr:sp macro="" textlink="">
      <xdr:nvSpPr>
        <xdr:cNvPr id="3" name="Rectangle: Rounded Corners 2">
          <a:extLst>
            <a:ext uri="{FF2B5EF4-FFF2-40B4-BE49-F238E27FC236}">
              <a16:creationId xmlns:a16="http://schemas.microsoft.com/office/drawing/2014/main" id="{6D83BEDB-B9B1-6005-A8B8-F7BB5D7E7CD3}"/>
            </a:ext>
          </a:extLst>
        </xdr:cNvPr>
        <xdr:cNvSpPr/>
      </xdr:nvSpPr>
      <xdr:spPr>
        <a:xfrm>
          <a:off x="425450" y="660400"/>
          <a:ext cx="3816350" cy="2038350"/>
        </a:xfrm>
        <a:prstGeom prst="roundRect">
          <a:avLst/>
        </a:prstGeom>
        <a:solidFill>
          <a:schemeClr val="tx2">
            <a:lumMod val="10000"/>
            <a:lumOff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311150</xdr:colOff>
      <xdr:row>6</xdr:row>
      <xdr:rowOff>76200</xdr:rowOff>
    </xdr:from>
    <xdr:to>
      <xdr:col>7</xdr:col>
      <xdr:colOff>50800</xdr:colOff>
      <xdr:row>16</xdr:row>
      <xdr:rowOff>38100</xdr:rowOff>
    </xdr:to>
    <xdr:graphicFrame macro="">
      <xdr:nvGraphicFramePr>
        <xdr:cNvPr id="2" name="Chart 1">
          <a:extLst>
            <a:ext uri="{FF2B5EF4-FFF2-40B4-BE49-F238E27FC236}">
              <a16:creationId xmlns:a16="http://schemas.microsoft.com/office/drawing/2014/main" id="{E808E617-CB58-4AC2-919D-A7879E0848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501650</xdr:colOff>
      <xdr:row>5</xdr:row>
      <xdr:rowOff>63500</xdr:rowOff>
    </xdr:from>
    <xdr:to>
      <xdr:col>18</xdr:col>
      <xdr:colOff>660400</xdr:colOff>
      <xdr:row>16</xdr:row>
      <xdr:rowOff>76200</xdr:rowOff>
    </xdr:to>
    <xdr:sp macro="" textlink="">
      <xdr:nvSpPr>
        <xdr:cNvPr id="5" name="Rectangle: Rounded Corners 4">
          <a:extLst>
            <a:ext uri="{FF2B5EF4-FFF2-40B4-BE49-F238E27FC236}">
              <a16:creationId xmlns:a16="http://schemas.microsoft.com/office/drawing/2014/main" id="{93871D18-007C-4ABB-A761-B5A577BFFA96}"/>
            </a:ext>
          </a:extLst>
        </xdr:cNvPr>
        <xdr:cNvSpPr/>
      </xdr:nvSpPr>
      <xdr:spPr>
        <a:xfrm>
          <a:off x="7459436" y="607786"/>
          <a:ext cx="3805464" cy="2008414"/>
        </a:xfrm>
        <a:prstGeom prst="roundRect">
          <a:avLst/>
        </a:prstGeom>
        <a:solidFill>
          <a:schemeClr val="tx2">
            <a:lumMod val="10000"/>
            <a:lumOff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514350</xdr:colOff>
      <xdr:row>4</xdr:row>
      <xdr:rowOff>165100</xdr:rowOff>
    </xdr:from>
    <xdr:to>
      <xdr:col>18</xdr:col>
      <xdr:colOff>527050</xdr:colOff>
      <xdr:row>6</xdr:row>
      <xdr:rowOff>57150</xdr:rowOff>
    </xdr:to>
    <xdr:sp macro="" textlink="">
      <xdr:nvSpPr>
        <xdr:cNvPr id="6" name="TextBox 5">
          <a:extLst>
            <a:ext uri="{FF2B5EF4-FFF2-40B4-BE49-F238E27FC236}">
              <a16:creationId xmlns:a16="http://schemas.microsoft.com/office/drawing/2014/main" id="{7E6CF958-D7C4-4339-8FEE-A283F00FEE6B}"/>
            </a:ext>
          </a:extLst>
        </xdr:cNvPr>
        <xdr:cNvSpPr txBox="1"/>
      </xdr:nvSpPr>
      <xdr:spPr>
        <a:xfrm>
          <a:off x="7493000" y="533400"/>
          <a:ext cx="3670300" cy="260350"/>
        </a:xfrm>
        <a:prstGeom prst="rect">
          <a:avLst/>
        </a:prstGeom>
        <a:solidFill>
          <a:schemeClr val="accent4">
            <a:lumMod val="60000"/>
            <a:lumOff val="4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solidFill>
                <a:schemeClr val="bg1"/>
              </a:solidFill>
            </a:rPr>
            <a:t>Priority Avg Response Time</a:t>
          </a:r>
        </a:p>
      </xdr:txBody>
    </xdr:sp>
    <xdr:clientData/>
  </xdr:twoCellAnchor>
  <xdr:twoCellAnchor>
    <xdr:from>
      <xdr:col>12</xdr:col>
      <xdr:colOff>177800</xdr:colOff>
      <xdr:row>6</xdr:row>
      <xdr:rowOff>76200</xdr:rowOff>
    </xdr:from>
    <xdr:to>
      <xdr:col>18</xdr:col>
      <xdr:colOff>698500</xdr:colOff>
      <xdr:row>16</xdr:row>
      <xdr:rowOff>19050</xdr:rowOff>
    </xdr:to>
    <xdr:graphicFrame macro="">
      <xdr:nvGraphicFramePr>
        <xdr:cNvPr id="7" name="Chart 6">
          <a:extLst>
            <a:ext uri="{FF2B5EF4-FFF2-40B4-BE49-F238E27FC236}">
              <a16:creationId xmlns:a16="http://schemas.microsoft.com/office/drawing/2014/main" id="{1EC51561-38FF-4923-A456-988A30238A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133350</xdr:colOff>
      <xdr:row>17</xdr:row>
      <xdr:rowOff>50800</xdr:rowOff>
    </xdr:from>
    <xdr:to>
      <xdr:col>7</xdr:col>
      <xdr:colOff>292100</xdr:colOff>
      <xdr:row>28</xdr:row>
      <xdr:rowOff>63500</xdr:rowOff>
    </xdr:to>
    <xdr:sp macro="" textlink="">
      <xdr:nvSpPr>
        <xdr:cNvPr id="9" name="Rectangle: Rounded Corners 8">
          <a:extLst>
            <a:ext uri="{FF2B5EF4-FFF2-40B4-BE49-F238E27FC236}">
              <a16:creationId xmlns:a16="http://schemas.microsoft.com/office/drawing/2014/main" id="{B553E79C-BCC0-4E58-BA76-FE7FDF02D73D}"/>
            </a:ext>
          </a:extLst>
        </xdr:cNvPr>
        <xdr:cNvSpPr/>
      </xdr:nvSpPr>
      <xdr:spPr>
        <a:xfrm>
          <a:off x="406400" y="2813050"/>
          <a:ext cx="3816350" cy="2038350"/>
        </a:xfrm>
        <a:prstGeom prst="roundRect">
          <a:avLst/>
        </a:prstGeom>
        <a:solidFill>
          <a:schemeClr val="tx2">
            <a:lumMod val="10000"/>
            <a:lumOff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44450</xdr:colOff>
      <xdr:row>17</xdr:row>
      <xdr:rowOff>177800</xdr:rowOff>
    </xdr:from>
    <xdr:to>
      <xdr:col>8</xdr:col>
      <xdr:colOff>76200</xdr:colOff>
      <xdr:row>32</xdr:row>
      <xdr:rowOff>158750</xdr:rowOff>
    </xdr:to>
    <xdr:graphicFrame macro="">
      <xdr:nvGraphicFramePr>
        <xdr:cNvPr id="8" name="Chart 7">
          <a:extLst>
            <a:ext uri="{FF2B5EF4-FFF2-40B4-BE49-F238E27FC236}">
              <a16:creationId xmlns:a16="http://schemas.microsoft.com/office/drawing/2014/main" id="{F0630121-926F-4DE3-B5DD-3BD32CB2C9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130735</xdr:colOff>
      <xdr:row>5</xdr:row>
      <xdr:rowOff>65741</xdr:rowOff>
    </xdr:from>
    <xdr:to>
      <xdr:col>7</xdr:col>
      <xdr:colOff>268941</xdr:colOff>
      <xdr:row>6</xdr:row>
      <xdr:rowOff>112059</xdr:rowOff>
    </xdr:to>
    <xdr:sp macro="" textlink="">
      <xdr:nvSpPr>
        <xdr:cNvPr id="10" name="TextBox 9">
          <a:extLst>
            <a:ext uri="{FF2B5EF4-FFF2-40B4-BE49-F238E27FC236}">
              <a16:creationId xmlns:a16="http://schemas.microsoft.com/office/drawing/2014/main" id="{A78B0A6A-8D7E-4FB2-9094-1120A7217E27}"/>
            </a:ext>
          </a:extLst>
        </xdr:cNvPr>
        <xdr:cNvSpPr txBox="1"/>
      </xdr:nvSpPr>
      <xdr:spPr>
        <a:xfrm>
          <a:off x="407147" y="626035"/>
          <a:ext cx="3813735" cy="233083"/>
        </a:xfrm>
        <a:prstGeom prst="rect">
          <a:avLst/>
        </a:prstGeom>
        <a:solidFill>
          <a:schemeClr val="accent4">
            <a:lumMod val="60000"/>
            <a:lumOff val="4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solidFill>
                <a:schemeClr val="bg1"/>
              </a:solidFill>
            </a:rPr>
            <a:t>Priority Avg Response Time</a:t>
          </a:r>
        </a:p>
      </xdr:txBody>
    </xdr:sp>
    <xdr:clientData/>
  </xdr:twoCellAnchor>
  <xdr:twoCellAnchor>
    <xdr:from>
      <xdr:col>1</xdr:col>
      <xdr:colOff>203200</xdr:colOff>
      <xdr:row>16</xdr:row>
      <xdr:rowOff>177800</xdr:rowOff>
    </xdr:from>
    <xdr:to>
      <xdr:col>7</xdr:col>
      <xdr:colOff>215900</xdr:colOff>
      <xdr:row>18</xdr:row>
      <xdr:rowOff>69850</xdr:rowOff>
    </xdr:to>
    <xdr:sp macro="" textlink="">
      <xdr:nvSpPr>
        <xdr:cNvPr id="4" name="TextBox 3">
          <a:extLst>
            <a:ext uri="{FF2B5EF4-FFF2-40B4-BE49-F238E27FC236}">
              <a16:creationId xmlns:a16="http://schemas.microsoft.com/office/drawing/2014/main" id="{E64987FD-A3DF-13AE-D97E-1A08A83DE447}"/>
            </a:ext>
          </a:extLst>
        </xdr:cNvPr>
        <xdr:cNvSpPr txBox="1"/>
      </xdr:nvSpPr>
      <xdr:spPr>
        <a:xfrm>
          <a:off x="476250" y="2755900"/>
          <a:ext cx="3670300" cy="260350"/>
        </a:xfrm>
        <a:prstGeom prst="rect">
          <a:avLst/>
        </a:prstGeom>
        <a:solidFill>
          <a:schemeClr val="accent4">
            <a:lumMod val="60000"/>
            <a:lumOff val="4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solidFill>
                <a:schemeClr val="bg1"/>
              </a:solidFill>
            </a:rPr>
            <a:t>Incident Distribution</a:t>
          </a:r>
        </a:p>
      </xdr:txBody>
    </xdr:sp>
    <xdr:clientData/>
  </xdr:twoCellAnchor>
  <xdr:twoCellAnchor>
    <xdr:from>
      <xdr:col>12</xdr:col>
      <xdr:colOff>535214</xdr:colOff>
      <xdr:row>4</xdr:row>
      <xdr:rowOff>170543</xdr:rowOff>
    </xdr:from>
    <xdr:to>
      <xdr:col>18</xdr:col>
      <xdr:colOff>547914</xdr:colOff>
      <xdr:row>6</xdr:row>
      <xdr:rowOff>62593</xdr:rowOff>
    </xdr:to>
    <xdr:sp macro="" textlink="">
      <xdr:nvSpPr>
        <xdr:cNvPr id="12" name="TextBox 11">
          <a:extLst>
            <a:ext uri="{FF2B5EF4-FFF2-40B4-BE49-F238E27FC236}">
              <a16:creationId xmlns:a16="http://schemas.microsoft.com/office/drawing/2014/main" id="{C525876E-888F-4885-913B-A741D3A63C98}"/>
            </a:ext>
          </a:extLst>
        </xdr:cNvPr>
        <xdr:cNvSpPr txBox="1"/>
      </xdr:nvSpPr>
      <xdr:spPr>
        <a:xfrm>
          <a:off x="7493000" y="533400"/>
          <a:ext cx="3659414" cy="254907"/>
        </a:xfrm>
        <a:prstGeom prst="rect">
          <a:avLst/>
        </a:prstGeom>
        <a:solidFill>
          <a:schemeClr val="accent4">
            <a:lumMod val="60000"/>
            <a:lumOff val="4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solidFill>
                <a:schemeClr val="bg1"/>
              </a:solidFill>
            </a:rPr>
            <a:t>Priority Avg Response Time</a:t>
          </a:r>
        </a:p>
      </xdr:txBody>
    </xdr:sp>
    <xdr:clientData/>
  </xdr:twoCellAnchor>
  <xdr:twoCellAnchor>
    <xdr:from>
      <xdr:col>12</xdr:col>
      <xdr:colOff>198664</xdr:colOff>
      <xdr:row>6</xdr:row>
      <xdr:rowOff>81643</xdr:rowOff>
    </xdr:from>
    <xdr:to>
      <xdr:col>19</xdr:col>
      <xdr:colOff>11793</xdr:colOff>
      <xdr:row>16</xdr:row>
      <xdr:rowOff>24493</xdr:rowOff>
    </xdr:to>
    <xdr:graphicFrame macro="">
      <xdr:nvGraphicFramePr>
        <xdr:cNvPr id="13" name="Chart 12">
          <a:extLst>
            <a:ext uri="{FF2B5EF4-FFF2-40B4-BE49-F238E27FC236}">
              <a16:creationId xmlns:a16="http://schemas.microsoft.com/office/drawing/2014/main" id="{99926E08-D7DB-4602-835A-42B34F8B34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443592</xdr:colOff>
      <xdr:row>17</xdr:row>
      <xdr:rowOff>79828</xdr:rowOff>
    </xdr:from>
    <xdr:to>
      <xdr:col>18</xdr:col>
      <xdr:colOff>602342</xdr:colOff>
      <xdr:row>28</xdr:row>
      <xdr:rowOff>92528</xdr:rowOff>
    </xdr:to>
    <xdr:sp macro="" textlink="">
      <xdr:nvSpPr>
        <xdr:cNvPr id="14" name="Rectangle: Rounded Corners 13">
          <a:extLst>
            <a:ext uri="{FF2B5EF4-FFF2-40B4-BE49-F238E27FC236}">
              <a16:creationId xmlns:a16="http://schemas.microsoft.com/office/drawing/2014/main" id="{BBF12E79-46FC-4A14-9623-C50DCA43BE24}"/>
            </a:ext>
          </a:extLst>
        </xdr:cNvPr>
        <xdr:cNvSpPr/>
      </xdr:nvSpPr>
      <xdr:spPr>
        <a:xfrm>
          <a:off x="7401378" y="2801257"/>
          <a:ext cx="3805464" cy="2008414"/>
        </a:xfrm>
        <a:prstGeom prst="roundRect">
          <a:avLst/>
        </a:prstGeom>
        <a:solidFill>
          <a:schemeClr val="tx2">
            <a:lumMod val="10000"/>
            <a:lumOff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362856</xdr:colOff>
      <xdr:row>18</xdr:row>
      <xdr:rowOff>0</xdr:rowOff>
    </xdr:from>
    <xdr:to>
      <xdr:col>18</xdr:col>
      <xdr:colOff>408214</xdr:colOff>
      <xdr:row>28</xdr:row>
      <xdr:rowOff>110670</xdr:rowOff>
    </xdr:to>
    <xdr:graphicFrame macro="">
      <xdr:nvGraphicFramePr>
        <xdr:cNvPr id="11" name="Chart 10">
          <a:extLst>
            <a:ext uri="{FF2B5EF4-FFF2-40B4-BE49-F238E27FC236}">
              <a16:creationId xmlns:a16="http://schemas.microsoft.com/office/drawing/2014/main" id="{76822DDA-D02F-4B9D-AE51-55C05E73E9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442686</xdr:colOff>
      <xdr:row>17</xdr:row>
      <xdr:rowOff>123371</xdr:rowOff>
    </xdr:from>
    <xdr:to>
      <xdr:col>18</xdr:col>
      <xdr:colOff>571500</xdr:colOff>
      <xdr:row>19</xdr:row>
      <xdr:rowOff>45357</xdr:rowOff>
    </xdr:to>
    <xdr:sp macro="" textlink="">
      <xdr:nvSpPr>
        <xdr:cNvPr id="15" name="TextBox 14">
          <a:extLst>
            <a:ext uri="{FF2B5EF4-FFF2-40B4-BE49-F238E27FC236}">
              <a16:creationId xmlns:a16="http://schemas.microsoft.com/office/drawing/2014/main" id="{E8607CD6-4B0C-4127-A57E-67E8930D3FB6}"/>
            </a:ext>
          </a:extLst>
        </xdr:cNvPr>
        <xdr:cNvSpPr txBox="1"/>
      </xdr:nvSpPr>
      <xdr:spPr>
        <a:xfrm>
          <a:off x="7400472" y="2844800"/>
          <a:ext cx="3775528" cy="284843"/>
        </a:xfrm>
        <a:prstGeom prst="rect">
          <a:avLst/>
        </a:prstGeom>
        <a:solidFill>
          <a:schemeClr val="accent4">
            <a:lumMod val="60000"/>
            <a:lumOff val="4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solidFill>
                <a:schemeClr val="bg1"/>
              </a:solidFill>
            </a:rPr>
            <a:t>Unit dispatched analysis</a:t>
          </a:r>
        </a:p>
      </xdr:txBody>
    </xdr:sp>
    <xdr:clientData/>
  </xdr:twoCellAnchor>
  <xdr:twoCellAnchor>
    <xdr:from>
      <xdr:col>9</xdr:col>
      <xdr:colOff>74705</xdr:colOff>
      <xdr:row>7</xdr:row>
      <xdr:rowOff>153680</xdr:rowOff>
    </xdr:from>
    <xdr:to>
      <xdr:col>11</xdr:col>
      <xdr:colOff>52294</xdr:colOff>
      <xdr:row>12</xdr:row>
      <xdr:rowOff>0</xdr:rowOff>
    </xdr:to>
    <xdr:sp macro="" textlink="Sheet1!B2">
      <xdr:nvSpPr>
        <xdr:cNvPr id="16" name="Rectangle 15">
          <a:extLst>
            <a:ext uri="{FF2B5EF4-FFF2-40B4-BE49-F238E27FC236}">
              <a16:creationId xmlns:a16="http://schemas.microsoft.com/office/drawing/2014/main" id="{8FB06275-9EFD-F2EF-20EA-C24810054A6C}"/>
            </a:ext>
          </a:extLst>
        </xdr:cNvPr>
        <xdr:cNvSpPr/>
      </xdr:nvSpPr>
      <xdr:spPr>
        <a:xfrm>
          <a:off x="5251823" y="1087504"/>
          <a:ext cx="1202765" cy="78014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71BDA278-CB8A-4DDC-89AD-76B0AD55F29F}" type="TxLink">
            <a:rPr lang="en-US" sz="3200" b="1" i="0" u="none" strike="noStrike">
              <a:solidFill>
                <a:schemeClr val="bg1"/>
              </a:solidFill>
              <a:latin typeface="Aptos Narrow"/>
            </a:rPr>
            <a:pPr algn="ctr"/>
            <a:t>14.34</a:t>
          </a:fld>
          <a:endParaRPr lang="en-IN" sz="2400">
            <a:solidFill>
              <a:schemeClr val="bg1"/>
            </a:solidFill>
          </a:endParaRPr>
        </a:p>
      </xdr:txBody>
    </xdr:sp>
    <xdr:clientData/>
  </xdr:twoCellAnchor>
  <xdr:oneCellAnchor>
    <xdr:from>
      <xdr:col>9</xdr:col>
      <xdr:colOff>37352</xdr:colOff>
      <xdr:row>7</xdr:row>
      <xdr:rowOff>14940</xdr:rowOff>
    </xdr:from>
    <xdr:ext cx="1299908" cy="264560"/>
    <xdr:sp macro="" textlink="">
      <xdr:nvSpPr>
        <xdr:cNvPr id="17" name="TextBox 16">
          <a:extLst>
            <a:ext uri="{FF2B5EF4-FFF2-40B4-BE49-F238E27FC236}">
              <a16:creationId xmlns:a16="http://schemas.microsoft.com/office/drawing/2014/main" id="{F8E371A4-124D-1E29-99D5-373EDAD9545B}"/>
            </a:ext>
          </a:extLst>
        </xdr:cNvPr>
        <xdr:cNvSpPr txBox="1"/>
      </xdr:nvSpPr>
      <xdr:spPr>
        <a:xfrm>
          <a:off x="5214470" y="948764"/>
          <a:ext cx="1299908" cy="264560"/>
        </a:xfrm>
        <a:prstGeom prst="rect">
          <a:avLst/>
        </a:prstGeom>
        <a:ln>
          <a:noFill/>
        </a:ln>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wrap="none" rtlCol="0" anchor="t">
          <a:spAutoFit/>
        </a:bodyPr>
        <a:lstStyle/>
        <a:p>
          <a:r>
            <a:rPr lang="en-IN" sz="1100" b="1"/>
            <a:t>Avg Response Time</a:t>
          </a:r>
        </a:p>
      </xdr:txBody>
    </xdr:sp>
    <xdr:clientData/>
  </xdr:oneCellAnchor>
  <xdr:twoCellAnchor>
    <xdr:from>
      <xdr:col>9</xdr:col>
      <xdr:colOff>92634</xdr:colOff>
      <xdr:row>13</xdr:row>
      <xdr:rowOff>81963</xdr:rowOff>
    </xdr:from>
    <xdr:to>
      <xdr:col>11</xdr:col>
      <xdr:colOff>70223</xdr:colOff>
      <xdr:row>17</xdr:row>
      <xdr:rowOff>115047</xdr:rowOff>
    </xdr:to>
    <xdr:sp macro="" textlink="Sheet1!H2">
      <xdr:nvSpPr>
        <xdr:cNvPr id="18" name="Rectangle 17">
          <a:extLst>
            <a:ext uri="{FF2B5EF4-FFF2-40B4-BE49-F238E27FC236}">
              <a16:creationId xmlns:a16="http://schemas.microsoft.com/office/drawing/2014/main" id="{52D18F5E-8BDD-46AD-BC16-995A416FE9EA}"/>
            </a:ext>
          </a:extLst>
        </xdr:cNvPr>
        <xdr:cNvSpPr/>
      </xdr:nvSpPr>
      <xdr:spPr>
        <a:xfrm>
          <a:off x="5269752" y="2136375"/>
          <a:ext cx="1202765" cy="78014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6C141E1-1832-4F06-9B91-858CD043A659}" type="TxLink">
            <a:rPr lang="en-US" sz="3600" b="1" i="0" u="none" strike="noStrike">
              <a:solidFill>
                <a:schemeClr val="bg1"/>
              </a:solidFill>
              <a:latin typeface="Aptos Narrow"/>
            </a:rPr>
            <a:t>5</a:t>
          </a:fld>
          <a:endParaRPr lang="en-IN" sz="8800" b="1">
            <a:solidFill>
              <a:schemeClr val="bg1"/>
            </a:solidFill>
          </a:endParaRPr>
        </a:p>
      </xdr:txBody>
    </xdr:sp>
    <xdr:clientData/>
  </xdr:twoCellAnchor>
  <xdr:oneCellAnchor>
    <xdr:from>
      <xdr:col>9</xdr:col>
      <xdr:colOff>2987</xdr:colOff>
      <xdr:row>12</xdr:row>
      <xdr:rowOff>107576</xdr:rowOff>
    </xdr:from>
    <xdr:ext cx="1463927" cy="264560"/>
    <xdr:sp macro="" textlink="">
      <xdr:nvSpPr>
        <xdr:cNvPr id="19" name="TextBox 18">
          <a:extLst>
            <a:ext uri="{FF2B5EF4-FFF2-40B4-BE49-F238E27FC236}">
              <a16:creationId xmlns:a16="http://schemas.microsoft.com/office/drawing/2014/main" id="{AD0D8FD0-F6E3-42D4-8BD8-946CCD6F1AC7}"/>
            </a:ext>
          </a:extLst>
        </xdr:cNvPr>
        <xdr:cNvSpPr txBox="1"/>
      </xdr:nvSpPr>
      <xdr:spPr>
        <a:xfrm>
          <a:off x="5180105" y="1975223"/>
          <a:ext cx="1463927" cy="264560"/>
        </a:xfrm>
        <a:prstGeom prst="rect">
          <a:avLst/>
        </a:prstGeom>
        <a:ln>
          <a:noFill/>
        </a:ln>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wrap="none" rtlCol="0" anchor="t">
          <a:spAutoFit/>
        </a:bodyPr>
        <a:lstStyle/>
        <a:p>
          <a:r>
            <a:rPr lang="en-IN" sz="1100" b="1"/>
            <a:t>High Risk Areas Count</a:t>
          </a:r>
        </a:p>
      </xdr:txBody>
    </xdr:sp>
    <xdr:clientData/>
  </xdr:oneCellAnchor>
  <xdr:twoCellAnchor>
    <xdr:from>
      <xdr:col>9</xdr:col>
      <xdr:colOff>80681</xdr:colOff>
      <xdr:row>20</xdr:row>
      <xdr:rowOff>17716</xdr:rowOff>
    </xdr:from>
    <xdr:to>
      <xdr:col>11</xdr:col>
      <xdr:colOff>58270</xdr:colOff>
      <xdr:row>24</xdr:row>
      <xdr:rowOff>50800</xdr:rowOff>
    </xdr:to>
    <xdr:sp macro="" textlink="Sheet1!N4">
      <xdr:nvSpPr>
        <xdr:cNvPr id="20" name="Rectangle 19">
          <a:extLst>
            <a:ext uri="{FF2B5EF4-FFF2-40B4-BE49-F238E27FC236}">
              <a16:creationId xmlns:a16="http://schemas.microsoft.com/office/drawing/2014/main" id="{1F2CA3FF-1DA3-42B7-AEC3-ECCEB9117E98}"/>
            </a:ext>
          </a:extLst>
        </xdr:cNvPr>
        <xdr:cNvSpPr/>
      </xdr:nvSpPr>
      <xdr:spPr>
        <a:xfrm>
          <a:off x="5257799" y="3379481"/>
          <a:ext cx="1202765" cy="78014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B25B60C-0DE5-4CCB-BB1A-ABCF1FA06930}" type="TxLink">
            <a:rPr lang="en-US" sz="2800" b="1" i="0" u="none" strike="noStrike">
              <a:solidFill>
                <a:schemeClr val="bg1"/>
              </a:solidFill>
              <a:latin typeface="Aptos Narrow"/>
            </a:rPr>
            <a:t>6.90</a:t>
          </a:fld>
          <a:endParaRPr lang="en-IN" sz="28700" b="1">
            <a:solidFill>
              <a:schemeClr val="bg1"/>
            </a:solidFill>
          </a:endParaRPr>
        </a:p>
      </xdr:txBody>
    </xdr:sp>
    <xdr:clientData/>
  </xdr:twoCellAnchor>
  <xdr:oneCellAnchor>
    <xdr:from>
      <xdr:col>8</xdr:col>
      <xdr:colOff>469153</xdr:colOff>
      <xdr:row>19</xdr:row>
      <xdr:rowOff>35858</xdr:rowOff>
    </xdr:from>
    <xdr:ext cx="1736245" cy="264560"/>
    <xdr:sp macro="" textlink="">
      <xdr:nvSpPr>
        <xdr:cNvPr id="21" name="TextBox 20">
          <a:extLst>
            <a:ext uri="{FF2B5EF4-FFF2-40B4-BE49-F238E27FC236}">
              <a16:creationId xmlns:a16="http://schemas.microsoft.com/office/drawing/2014/main" id="{AA08F3DF-1B04-4EB4-A757-ABED4CFF024F}"/>
            </a:ext>
          </a:extLst>
        </xdr:cNvPr>
        <xdr:cNvSpPr txBox="1"/>
      </xdr:nvSpPr>
      <xdr:spPr>
        <a:xfrm>
          <a:off x="5033682" y="3210858"/>
          <a:ext cx="1736245" cy="264560"/>
        </a:xfrm>
        <a:prstGeom prst="rect">
          <a:avLst/>
        </a:prstGeom>
        <a:ln>
          <a:noFill/>
        </a:ln>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wrap="none" rtlCol="0" anchor="t">
          <a:spAutoFit/>
        </a:bodyPr>
        <a:lstStyle/>
        <a:p>
          <a:r>
            <a:rPr lang="en-IN" sz="1100" b="1"/>
            <a:t>%  NO  (Resolved (Yes/No))</a:t>
          </a:r>
        </a:p>
      </xdr:txBody>
    </xdr:sp>
    <xdr:clientData/>
  </xdr:oneCellAnchor>
  <xdr:twoCellAnchor>
    <xdr:from>
      <xdr:col>0</xdr:col>
      <xdr:colOff>119529</xdr:colOff>
      <xdr:row>0</xdr:row>
      <xdr:rowOff>149412</xdr:rowOff>
    </xdr:from>
    <xdr:to>
      <xdr:col>19</xdr:col>
      <xdr:colOff>171823</xdr:colOff>
      <xdr:row>4</xdr:row>
      <xdr:rowOff>52294</xdr:rowOff>
    </xdr:to>
    <xdr:sp macro="" textlink="">
      <xdr:nvSpPr>
        <xdr:cNvPr id="22" name="Rectangle: Rounded Corners 21">
          <a:extLst>
            <a:ext uri="{FF2B5EF4-FFF2-40B4-BE49-F238E27FC236}">
              <a16:creationId xmlns:a16="http://schemas.microsoft.com/office/drawing/2014/main" id="{0D75EAA2-6852-F862-D44D-635C369C9E4D}"/>
            </a:ext>
          </a:extLst>
        </xdr:cNvPr>
        <xdr:cNvSpPr/>
      </xdr:nvSpPr>
      <xdr:spPr>
        <a:xfrm>
          <a:off x="119529" y="149412"/>
          <a:ext cx="11452412" cy="64994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4000" b="0">
              <a:latin typeface="Agency FB" panose="020B0503020202020204" pitchFamily="34" charset="0"/>
            </a:rPr>
            <a:t>DISCOVER TALENT </a:t>
          </a:r>
          <a:r>
            <a:rPr lang="en-IN" sz="4000" b="0">
              <a:solidFill>
                <a:srgbClr val="FFFF00"/>
              </a:solidFill>
              <a:latin typeface="Agency FB" panose="020B0503020202020204" pitchFamily="34" charset="0"/>
            </a:rPr>
            <a:t>PUBLIC SAFETY </a:t>
          </a:r>
          <a:r>
            <a:rPr lang="en-IN" sz="4000" b="0">
              <a:latin typeface="Agency FB" panose="020B0503020202020204" pitchFamily="34" charset="0"/>
            </a:rPr>
            <a:t>DATA ANALYTICS DASHBOARD</a:t>
          </a:r>
        </a:p>
      </xdr:txBody>
    </xdr:sp>
    <xdr:clientData/>
  </xdr:twoCellAnchor>
  <xdr:twoCellAnchor editAs="absolute">
    <xdr:from>
      <xdr:col>5</xdr:col>
      <xdr:colOff>141942</xdr:colOff>
      <xdr:row>28</xdr:row>
      <xdr:rowOff>149412</xdr:rowOff>
    </xdr:from>
    <xdr:to>
      <xdr:col>7</xdr:col>
      <xdr:colOff>560294</xdr:colOff>
      <xdr:row>41</xdr:row>
      <xdr:rowOff>141941</xdr:rowOff>
    </xdr:to>
    <mc:AlternateContent xmlns:mc="http://schemas.openxmlformats.org/markup-compatibility/2006">
      <mc:Choice xmlns:sle15="http://schemas.microsoft.com/office/drawing/2012/slicer" Requires="sle15">
        <xdr:graphicFrame macro="">
          <xdr:nvGraphicFramePr>
            <xdr:cNvPr id="23" name="Flag">
              <a:extLst>
                <a:ext uri="{FF2B5EF4-FFF2-40B4-BE49-F238E27FC236}">
                  <a16:creationId xmlns:a16="http://schemas.microsoft.com/office/drawing/2014/main" id="{8A74CC20-DF74-4500-81D2-68D3DBDEEBC6}"/>
                </a:ext>
              </a:extLst>
            </xdr:cNvPr>
            <xdr:cNvGraphicFramePr/>
          </xdr:nvGraphicFramePr>
          <xdr:xfrm>
            <a:off x="0" y="0"/>
            <a:ext cx="0" cy="0"/>
          </xdr:xfrm>
          <a:graphic>
            <a:graphicData uri="http://schemas.microsoft.com/office/drawing/2010/slicer">
              <sle:slicer xmlns:sle="http://schemas.microsoft.com/office/drawing/2010/slicer" name="Flag"/>
            </a:graphicData>
          </a:graphic>
        </xdr:graphicFrame>
      </mc:Choice>
      <mc:Fallback>
        <xdr:sp macro="" textlink="">
          <xdr:nvSpPr>
            <xdr:cNvPr id="0" name=""/>
            <xdr:cNvSpPr>
              <a:spLocks noTextEdit="1"/>
            </xdr:cNvSpPr>
          </xdr:nvSpPr>
          <xdr:spPr>
            <a:xfrm>
              <a:off x="2868707" y="5378824"/>
              <a:ext cx="1643528" cy="242047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8</xdr:col>
      <xdr:colOff>14942</xdr:colOff>
      <xdr:row>32</xdr:row>
      <xdr:rowOff>97117</xdr:rowOff>
    </xdr:from>
    <xdr:to>
      <xdr:col>18</xdr:col>
      <xdr:colOff>649941</xdr:colOff>
      <xdr:row>37</xdr:row>
      <xdr:rowOff>127000</xdr:rowOff>
    </xdr:to>
    <mc:AlternateContent xmlns:mc="http://schemas.openxmlformats.org/markup-compatibility/2006">
      <mc:Choice xmlns:sle15="http://schemas.microsoft.com/office/drawing/2012/slicer" Requires="sle15">
        <xdr:graphicFrame macro="">
          <xdr:nvGraphicFramePr>
            <xdr:cNvPr id="24" name="Incident_ID">
              <a:extLst>
                <a:ext uri="{FF2B5EF4-FFF2-40B4-BE49-F238E27FC236}">
                  <a16:creationId xmlns:a16="http://schemas.microsoft.com/office/drawing/2014/main" id="{12CE9923-6D4F-4570-82C9-745445A3D87F}"/>
                </a:ext>
              </a:extLst>
            </xdr:cNvPr>
            <xdr:cNvGraphicFramePr/>
          </xdr:nvGraphicFramePr>
          <xdr:xfrm>
            <a:off x="0" y="0"/>
            <a:ext cx="0" cy="0"/>
          </xdr:xfrm>
          <a:graphic>
            <a:graphicData uri="http://schemas.microsoft.com/office/drawing/2010/slicer">
              <sle:slicer xmlns:sle="http://schemas.microsoft.com/office/drawing/2010/slicer" name="Incident_ID"/>
            </a:graphicData>
          </a:graphic>
        </xdr:graphicFrame>
      </mc:Choice>
      <mc:Fallback>
        <xdr:sp macro="" textlink="">
          <xdr:nvSpPr>
            <xdr:cNvPr id="0" name=""/>
            <xdr:cNvSpPr>
              <a:spLocks noTextEdit="1"/>
            </xdr:cNvSpPr>
          </xdr:nvSpPr>
          <xdr:spPr>
            <a:xfrm>
              <a:off x="4579471" y="6073588"/>
              <a:ext cx="6760882" cy="963706"/>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610720</xdr:colOff>
      <xdr:row>28</xdr:row>
      <xdr:rowOff>117664</xdr:rowOff>
    </xdr:from>
    <xdr:to>
      <xdr:col>18</xdr:col>
      <xdr:colOff>679823</xdr:colOff>
      <xdr:row>32</xdr:row>
      <xdr:rowOff>44825</xdr:rowOff>
    </xdr:to>
    <mc:AlternateContent xmlns:mc="http://schemas.openxmlformats.org/markup-compatibility/2006">
      <mc:Choice xmlns:sle15="http://schemas.microsoft.com/office/drawing/2012/slicer" Requires="sle15">
        <xdr:graphicFrame macro="">
          <xdr:nvGraphicFramePr>
            <xdr:cNvPr id="25" name="City Area">
              <a:extLst>
                <a:ext uri="{FF2B5EF4-FFF2-40B4-BE49-F238E27FC236}">
                  <a16:creationId xmlns:a16="http://schemas.microsoft.com/office/drawing/2014/main" id="{5743CC46-4C61-4128-98E1-A52077BEAAE9}"/>
                </a:ext>
              </a:extLst>
            </xdr:cNvPr>
            <xdr:cNvGraphicFramePr/>
          </xdr:nvGraphicFramePr>
          <xdr:xfrm>
            <a:off x="0" y="0"/>
            <a:ext cx="0" cy="0"/>
          </xdr:xfrm>
          <a:graphic>
            <a:graphicData uri="http://schemas.microsoft.com/office/drawing/2010/slicer">
              <sle:slicer xmlns:sle="http://schemas.microsoft.com/office/drawing/2010/slicer" name="City Area"/>
            </a:graphicData>
          </a:graphic>
        </xdr:graphicFrame>
      </mc:Choice>
      <mc:Fallback>
        <xdr:sp macro="" textlink="">
          <xdr:nvSpPr>
            <xdr:cNvPr id="0" name=""/>
            <xdr:cNvSpPr>
              <a:spLocks noTextEdit="1"/>
            </xdr:cNvSpPr>
          </xdr:nvSpPr>
          <xdr:spPr>
            <a:xfrm>
              <a:off x="4562661" y="5347076"/>
              <a:ext cx="6807574" cy="67422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8</xdr:col>
      <xdr:colOff>14942</xdr:colOff>
      <xdr:row>37</xdr:row>
      <xdr:rowOff>175559</xdr:rowOff>
    </xdr:from>
    <xdr:to>
      <xdr:col>18</xdr:col>
      <xdr:colOff>657413</xdr:colOff>
      <xdr:row>41</xdr:row>
      <xdr:rowOff>149412</xdr:rowOff>
    </xdr:to>
    <mc:AlternateContent xmlns:mc="http://schemas.openxmlformats.org/markup-compatibility/2006">
      <mc:Choice xmlns:sle15="http://schemas.microsoft.com/office/drawing/2012/slicer" Requires="sle15">
        <xdr:graphicFrame macro="">
          <xdr:nvGraphicFramePr>
            <xdr:cNvPr id="26" name="Priority">
              <a:extLst>
                <a:ext uri="{FF2B5EF4-FFF2-40B4-BE49-F238E27FC236}">
                  <a16:creationId xmlns:a16="http://schemas.microsoft.com/office/drawing/2014/main" id="{DE9C55CA-5292-4E3D-AF2A-F39033B967AA}"/>
                </a:ext>
              </a:extLst>
            </xdr:cNvPr>
            <xdr:cNvGraphicFramePr/>
          </xdr:nvGraphicFramePr>
          <xdr:xfrm>
            <a:off x="0" y="0"/>
            <a:ext cx="0" cy="0"/>
          </xdr:xfrm>
          <a:graphic>
            <a:graphicData uri="http://schemas.microsoft.com/office/drawing/2010/slicer">
              <sle:slicer xmlns:sle="http://schemas.microsoft.com/office/drawing/2010/slicer" name="Priority"/>
            </a:graphicData>
          </a:graphic>
        </xdr:graphicFrame>
      </mc:Choice>
      <mc:Fallback>
        <xdr:sp macro="" textlink="">
          <xdr:nvSpPr>
            <xdr:cNvPr id="0" name=""/>
            <xdr:cNvSpPr>
              <a:spLocks noTextEdit="1"/>
            </xdr:cNvSpPr>
          </xdr:nvSpPr>
          <xdr:spPr>
            <a:xfrm>
              <a:off x="4579471" y="7085853"/>
              <a:ext cx="6768354" cy="720912"/>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lag" xr10:uid="{80E9E581-CE92-4FBE-88DD-A948349E3C4F}" sourceName="Flag">
  <extLst>
    <x:ext xmlns:x15="http://schemas.microsoft.com/office/spreadsheetml/2010/11/main" uri="{2F2917AC-EB37-4324-AD4E-5DD8C200BD13}">
      <x15:tableSlicerCache tableId="2" column="9"/>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cident_ID" xr10:uid="{3FB7C6FA-2E4B-4139-892F-1E1AD613BF82}" sourceName="Incident_ID">
  <extLst>
    <x:ext xmlns:x15="http://schemas.microsoft.com/office/spreadsheetml/2010/11/main" uri="{2F2917AC-EB37-4324-AD4E-5DD8C200BD13}">
      <x15:tableSlicerCache tableId="2" column="1"/>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_Area" xr10:uid="{700D9177-0B96-4F90-B1B6-0F96B8F586C8}" sourceName="City Area">
  <extLst>
    <x:ext xmlns:x15="http://schemas.microsoft.com/office/spreadsheetml/2010/11/main" uri="{2F2917AC-EB37-4324-AD4E-5DD8C200BD13}">
      <x15:tableSlicerCache tableId="2" column="3"/>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ority" xr10:uid="{B0755B4A-B01A-4579-80D9-61432831B125}" sourceName="Priority">
  <extLst>
    <x:ext xmlns:x15="http://schemas.microsoft.com/office/spreadsheetml/2010/11/main" uri="{2F2917AC-EB37-4324-AD4E-5DD8C200BD13}">
      <x15:tableSlicerCache tableId="2" column="5"/>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Flag" xr10:uid="{90852A17-FF95-4BA4-A847-8D294E58DB8E}" cache="Slicer_Flag" caption="Flag" rowHeight="251883"/>
  <slicer name="Incident_ID" xr10:uid="{9894AF18-9F7F-4703-954F-8CB7AAF1AB61}" cache="Slicer_Incident_ID" caption="Incident_ID" columnCount="5" rowHeight="251883"/>
  <slicer name="City Area" xr10:uid="{0E7DA9D6-1D1E-4179-9EE0-8EBA7E9ADC17}" cache="Slicer_City_Area" caption="City Area" columnCount="5" rowHeight="251883"/>
  <slicer name="Priority" xr10:uid="{08E04EC6-96D2-498E-BFF1-8A2E60FCB351}" cache="Slicer_Priority" caption="Priority" columnCount="4"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1CB1AFC-69BF-45EE-AD00-40502E134190}" name="PublicSafety_Data" displayName="PublicSafety_Data" ref="A10:I39" totalsRowShown="0" headerRowDxfId="10" dataDxfId="9">
  <autoFilter ref="A10:I39" xr:uid="{41CB1AFC-69BF-45EE-AD00-40502E134190}">
    <filterColumn colId="8">
      <filters>
        <filter val="Flag"/>
      </filters>
    </filterColumn>
  </autoFilter>
  <tableColumns count="9">
    <tableColumn id="1" xr3:uid="{33A20D70-4E5A-46AC-9F9F-6EB29ECD7326}" name="Incident_ID" dataDxfId="8"/>
    <tableColumn id="2" xr3:uid="{0DC941A5-8478-45B0-8A4B-B179760E23AB}" name="Date" dataDxfId="7"/>
    <tableColumn id="3" xr3:uid="{CAFB0F60-CC6C-4BE4-A3F5-F943F40C8676}" name="City Area" dataDxfId="6"/>
    <tableColumn id="4" xr3:uid="{3CF43515-EB2E-4FB3-9832-30ECC1047DCA}" name="Incident Type" dataDxfId="5"/>
    <tableColumn id="5" xr3:uid="{4732952C-BBB3-4198-8C06-5487419A7CD8}" name="Priority" dataDxfId="4"/>
    <tableColumn id="6" xr3:uid="{C1BC9F5D-2D2A-450A-8590-8BA06248BBBC}" name="Response Time (Min)" dataDxfId="3"/>
    <tableColumn id="7" xr3:uid="{F4FF3493-82DE-4868-A026-F6C0C3626A3D}" name="Units Dispatched" dataDxfId="2"/>
    <tableColumn id="8" xr3:uid="{DABE8E13-72ED-492E-8FF2-1D0AB0A8E519}" name="Resolved (Yes/No)" dataDxfId="1"/>
    <tableColumn id="9" xr3:uid="{B142839F-5F1C-4639-8FAB-2519AC75AA0E}" name="Flag" dataDxfId="0">
      <calculatedColumnFormula>IF(F11&gt;15, "Flag", "")</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Slipstream">
      <a:dk1>
        <a:sysClr val="windowText" lastClr="000000"/>
      </a:dk1>
      <a:lt1>
        <a:sysClr val="window" lastClr="FFFFFF"/>
      </a:lt1>
      <a:dk2>
        <a:srgbClr val="212745"/>
      </a:dk2>
      <a:lt2>
        <a:srgbClr val="B4DCFA"/>
      </a:lt2>
      <a:accent1>
        <a:srgbClr val="4E67C8"/>
      </a:accent1>
      <a:accent2>
        <a:srgbClr val="5ECCF3"/>
      </a:accent2>
      <a:accent3>
        <a:srgbClr val="A7EA52"/>
      </a:accent3>
      <a:accent4>
        <a:srgbClr val="5DCEAF"/>
      </a:accent4>
      <a:accent5>
        <a:srgbClr val="FF8021"/>
      </a:accent5>
      <a:accent6>
        <a:srgbClr val="F14124"/>
      </a:accent6>
      <a:hlink>
        <a:srgbClr val="56C7AA"/>
      </a:hlink>
      <a:folHlink>
        <a:srgbClr val="59A8D1"/>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39"/>
  <sheetViews>
    <sheetView tabSelected="1" workbookViewId="0">
      <selection activeCell="D48" sqref="D48"/>
    </sheetView>
  </sheetViews>
  <sheetFormatPr defaultRowHeight="14.5" x14ac:dyDescent="0.35"/>
  <cols>
    <col min="1" max="1" width="7.36328125" style="2" customWidth="1"/>
    <col min="2" max="2" width="7.453125" style="2" bestFit="1" customWidth="1"/>
    <col min="3" max="3" width="9.81640625" style="2" customWidth="1"/>
    <col min="4" max="4" width="13" style="2" bestFit="1" customWidth="1"/>
    <col min="5" max="5" width="7.81640625" style="2" bestFit="1" customWidth="1"/>
    <col min="6" max="6" width="12.26953125" style="2" customWidth="1"/>
    <col min="7" max="7" width="5.1796875" style="2" customWidth="1"/>
    <col min="8" max="8" width="15.1796875" style="2" bestFit="1" customWidth="1"/>
    <col min="9" max="9" width="14.90625" bestFit="1" customWidth="1"/>
  </cols>
  <sheetData>
    <row r="1" spans="1:15" x14ac:dyDescent="0.35">
      <c r="B1" s="8" t="s">
        <v>56</v>
      </c>
      <c r="C1" s="8"/>
      <c r="D1" s="8" t="s">
        <v>55</v>
      </c>
      <c r="E1" s="8"/>
      <c r="F1" s="13" t="s">
        <v>57</v>
      </c>
      <c r="G1" s="13" t="s">
        <v>58</v>
      </c>
      <c r="H1" s="13" t="s">
        <v>59</v>
      </c>
      <c r="I1" s="13" t="s">
        <v>60</v>
      </c>
      <c r="J1" s="13" t="s">
        <v>63</v>
      </c>
      <c r="K1" s="7" t="s">
        <v>64</v>
      </c>
      <c r="L1" s="13" t="s">
        <v>65</v>
      </c>
      <c r="N1" s="13" t="s">
        <v>68</v>
      </c>
      <c r="O1" s="13" t="s">
        <v>69</v>
      </c>
    </row>
    <row r="2" spans="1:15" x14ac:dyDescent="0.35">
      <c r="B2" s="11">
        <f>AVERAGE(PublicSafety_Data[Response Time (Min)])</f>
        <v>14.344827586206897</v>
      </c>
      <c r="C2" s="11"/>
      <c r="D2" s="12" t="s">
        <v>16</v>
      </c>
      <c r="E2" s="9">
        <f>AVERAGEIF(E11:E39, "Critical", F11:F39)</f>
        <v>6.333333333333333</v>
      </c>
      <c r="F2" s="7" t="s">
        <v>9</v>
      </c>
      <c r="G2" s="12">
        <f>COUNTIF(C11:C39, "Downtown")</f>
        <v>7</v>
      </c>
      <c r="H2" s="12">
        <f>COUNTIFS(C11:C39, "Downtown", E11:E39, "High") + COUNTIFS(C11:C39, "Downtown", E11:E39, "Critical")</f>
        <v>5</v>
      </c>
      <c r="I2" s="7" t="s">
        <v>61</v>
      </c>
      <c r="J2" s="7">
        <f>COUNTIF(D11:D39, "Traffic Accident")</f>
        <v>6</v>
      </c>
      <c r="K2" s="7" t="s">
        <v>61</v>
      </c>
      <c r="L2" s="9">
        <f>AVERAGEIF(D10:D39, "Traffic Accident", G10:G39)</f>
        <v>2.1666666666666665</v>
      </c>
      <c r="N2">
        <f>COUNTIF(H11:H39, "No")</f>
        <v>2</v>
      </c>
      <c r="O2" t="s">
        <v>39</v>
      </c>
    </row>
    <row r="3" spans="1:15" x14ac:dyDescent="0.35">
      <c r="B3" s="11"/>
      <c r="C3" s="11"/>
      <c r="D3" s="12" t="s">
        <v>11</v>
      </c>
      <c r="E3" s="10">
        <f>AVERAGEIF(E11:E39, "High", F11:F39)</f>
        <v>12.444444444444445</v>
      </c>
      <c r="F3" s="7" t="s">
        <v>14</v>
      </c>
      <c r="G3" s="12">
        <f>COUNTIF(C11:C39, "North Zone")</f>
        <v>6</v>
      </c>
      <c r="H3" s="7"/>
      <c r="I3" s="7" t="s">
        <v>62</v>
      </c>
      <c r="J3" s="7">
        <f>COUNTIF(D11:D39, "Fire Alert")</f>
        <v>5</v>
      </c>
      <c r="K3" s="7" t="s">
        <v>62</v>
      </c>
      <c r="L3" s="9">
        <f>AVERAGEIF(D10:D39, "Fire Alert", G10:G39)</f>
        <v>5</v>
      </c>
      <c r="N3">
        <f>COUNTA(H11:H39)</f>
        <v>29</v>
      </c>
      <c r="O3" t="s">
        <v>66</v>
      </c>
    </row>
    <row r="4" spans="1:15" x14ac:dyDescent="0.35">
      <c r="B4" s="11"/>
      <c r="C4" s="11"/>
      <c r="D4" s="12" t="s">
        <v>23</v>
      </c>
      <c r="E4" s="10">
        <f>AVERAGEIF(E11:E39, "Medium", F11:F39)</f>
        <v>19.571428571428573</v>
      </c>
      <c r="F4" s="7" t="s">
        <v>18</v>
      </c>
      <c r="G4" s="12">
        <f>COUNTIF(C11:C39, "East Side")</f>
        <v>6</v>
      </c>
      <c r="H4" s="7"/>
      <c r="I4" s="7" t="s">
        <v>19</v>
      </c>
      <c r="J4" s="7">
        <f>COUNTIF(D11:D39, "Medical Emergency")</f>
        <v>5</v>
      </c>
      <c r="K4" s="7" t="s">
        <v>19</v>
      </c>
      <c r="L4" s="9">
        <f>AVERAGEIF(D10:D39, "Medical Emergency", G10:G39)</f>
        <v>3.8</v>
      </c>
      <c r="N4" s="14">
        <f>COUNTIF(H11:H39, "No") / COUNTA(H11:H39) * 100</f>
        <v>6.8965517241379306</v>
      </c>
      <c r="O4" t="s">
        <v>67</v>
      </c>
    </row>
    <row r="5" spans="1:15" x14ac:dyDescent="0.35">
      <c r="B5" s="11"/>
      <c r="C5" s="11"/>
      <c r="D5" s="12" t="s">
        <v>34</v>
      </c>
      <c r="E5" s="10">
        <f>AVERAGEIF(E11:E39, "Low", F11:F39)</f>
        <v>27.5</v>
      </c>
      <c r="F5" s="7" t="s">
        <v>21</v>
      </c>
      <c r="G5" s="12">
        <f>COUNTIF(C11:C39, "South Zone")</f>
        <v>5</v>
      </c>
      <c r="H5" s="7"/>
      <c r="I5" s="7" t="s">
        <v>22</v>
      </c>
      <c r="J5" s="7">
        <f>COUNTIF(D11:D39, "Theft")</f>
        <v>5</v>
      </c>
      <c r="K5" s="7" t="s">
        <v>22</v>
      </c>
      <c r="L5" s="9">
        <f>AVERAGEIF(D10:D39, "Theft", G10:G39)</f>
        <v>1.2</v>
      </c>
    </row>
    <row r="6" spans="1:15" x14ac:dyDescent="0.35">
      <c r="B6" s="7"/>
      <c r="C6" s="7"/>
      <c r="D6" s="7"/>
      <c r="E6" s="7"/>
      <c r="F6" s="7" t="s">
        <v>27</v>
      </c>
      <c r="G6" s="12">
        <f>COUNTIF(C11:C39, "West End")</f>
        <v>5</v>
      </c>
      <c r="H6" s="7"/>
      <c r="I6" s="7" t="s">
        <v>25</v>
      </c>
      <c r="J6" s="7">
        <f>COUNTIF(D11:D39, "Assault")</f>
        <v>4</v>
      </c>
      <c r="K6" s="7" t="s">
        <v>25</v>
      </c>
      <c r="L6" s="9">
        <f>AVERAGEIF(D10:D39, "Assault", G10:G39)</f>
        <v>2.75</v>
      </c>
    </row>
    <row r="7" spans="1:15" x14ac:dyDescent="0.35">
      <c r="B7" s="7"/>
      <c r="C7" s="7"/>
      <c r="D7" s="7"/>
      <c r="E7" s="7"/>
      <c r="F7" s="7"/>
      <c r="G7" s="7"/>
      <c r="H7" s="7"/>
      <c r="I7" s="7" t="s">
        <v>31</v>
      </c>
      <c r="J7" s="7">
        <f>COUNTIF(D11:D39, "Robbery")</f>
        <v>4</v>
      </c>
      <c r="K7" s="7" t="s">
        <v>31</v>
      </c>
      <c r="L7" s="9">
        <f>AVERAGEIF(D10:D39, "Robbery", G10:G39)</f>
        <v>4</v>
      </c>
    </row>
    <row r="8" spans="1:15" x14ac:dyDescent="0.35">
      <c r="B8" s="7"/>
      <c r="C8" s="7"/>
      <c r="D8" s="7"/>
      <c r="E8" s="7"/>
      <c r="F8" s="7"/>
      <c r="G8" s="7"/>
      <c r="H8" s="7"/>
      <c r="I8" s="7"/>
      <c r="J8" s="7"/>
    </row>
    <row r="9" spans="1:15" x14ac:dyDescent="0.35">
      <c r="B9" s="7"/>
      <c r="C9" s="7"/>
      <c r="D9" s="7"/>
      <c r="E9" s="7"/>
      <c r="F9" s="7"/>
      <c r="G9" s="7"/>
      <c r="H9" s="7"/>
      <c r="I9" s="7"/>
      <c r="J9" s="7"/>
    </row>
    <row r="10" spans="1:15" x14ac:dyDescent="0.35">
      <c r="A10" s="1" t="s">
        <v>0</v>
      </c>
      <c r="B10" s="1" t="s">
        <v>1</v>
      </c>
      <c r="C10" s="1" t="s">
        <v>2</v>
      </c>
      <c r="D10" s="1" t="s">
        <v>3</v>
      </c>
      <c r="E10" s="1" t="s">
        <v>4</v>
      </c>
      <c r="F10" s="1" t="s">
        <v>5</v>
      </c>
      <c r="G10" s="1" t="s">
        <v>6</v>
      </c>
      <c r="H10" s="1" t="s">
        <v>7</v>
      </c>
      <c r="I10" s="1" t="s">
        <v>54</v>
      </c>
    </row>
    <row r="11" spans="1:15" hidden="1" x14ac:dyDescent="0.35">
      <c r="A11" s="2" t="s">
        <v>8</v>
      </c>
      <c r="B11" s="3">
        <v>45659</v>
      </c>
      <c r="C11" s="2" t="s">
        <v>9</v>
      </c>
      <c r="D11" s="2" t="s">
        <v>10</v>
      </c>
      <c r="E11" s="2" t="s">
        <v>11</v>
      </c>
      <c r="F11" s="2">
        <v>12</v>
      </c>
      <c r="G11" s="2">
        <v>3</v>
      </c>
      <c r="H11" s="2" t="s">
        <v>12</v>
      </c>
      <c r="I11" s="6" t="str">
        <f t="shared" ref="I11:I39" si="0">IF(F11&gt;15, "Flag", "")</f>
        <v/>
      </c>
    </row>
    <row r="12" spans="1:15" hidden="1" x14ac:dyDescent="0.35">
      <c r="A12" s="2" t="s">
        <v>13</v>
      </c>
      <c r="B12" s="3">
        <v>45660</v>
      </c>
      <c r="C12" s="2" t="s">
        <v>14</v>
      </c>
      <c r="D12" s="2" t="s">
        <v>15</v>
      </c>
      <c r="E12" s="2" t="s">
        <v>16</v>
      </c>
      <c r="F12" s="2">
        <v>8</v>
      </c>
      <c r="G12" s="2">
        <v>5</v>
      </c>
      <c r="H12" s="2" t="s">
        <v>12</v>
      </c>
      <c r="I12" s="2" t="str">
        <f t="shared" si="0"/>
        <v/>
      </c>
    </row>
    <row r="13" spans="1:15" hidden="1" x14ac:dyDescent="0.35">
      <c r="A13" s="2" t="s">
        <v>17</v>
      </c>
      <c r="B13" s="3">
        <v>45660</v>
      </c>
      <c r="C13" s="2" t="s">
        <v>18</v>
      </c>
      <c r="D13" s="2" t="s">
        <v>19</v>
      </c>
      <c r="E13" s="2" t="s">
        <v>16</v>
      </c>
      <c r="F13" s="2">
        <v>6</v>
      </c>
      <c r="G13" s="2">
        <v>4</v>
      </c>
      <c r="H13" s="2" t="s">
        <v>12</v>
      </c>
      <c r="I13" s="2" t="str">
        <f t="shared" si="0"/>
        <v/>
      </c>
    </row>
    <row r="14" spans="1:15" x14ac:dyDescent="0.35">
      <c r="A14" s="2" t="s">
        <v>20</v>
      </c>
      <c r="B14" s="3">
        <v>45661</v>
      </c>
      <c r="C14" s="2" t="s">
        <v>21</v>
      </c>
      <c r="D14" s="2" t="s">
        <v>22</v>
      </c>
      <c r="E14" s="2" t="s">
        <v>23</v>
      </c>
      <c r="F14" s="2">
        <v>18</v>
      </c>
      <c r="G14" s="2">
        <v>2</v>
      </c>
      <c r="H14" s="2" t="s">
        <v>12</v>
      </c>
      <c r="I14" s="2" t="str">
        <f t="shared" si="0"/>
        <v>Flag</v>
      </c>
    </row>
    <row r="15" spans="1:15" hidden="1" x14ac:dyDescent="0.35">
      <c r="A15" s="2" t="s">
        <v>24</v>
      </c>
      <c r="B15" s="3">
        <v>45662</v>
      </c>
      <c r="C15" s="2" t="s">
        <v>9</v>
      </c>
      <c r="D15" s="2" t="s">
        <v>25</v>
      </c>
      <c r="E15" s="2" t="s">
        <v>11</v>
      </c>
      <c r="F15" s="2">
        <v>10</v>
      </c>
      <c r="G15" s="2">
        <v>3</v>
      </c>
      <c r="H15" s="2" t="s">
        <v>12</v>
      </c>
      <c r="I15" s="2" t="str">
        <f t="shared" si="0"/>
        <v/>
      </c>
    </row>
    <row r="16" spans="1:15" x14ac:dyDescent="0.35">
      <c r="A16" s="2" t="s">
        <v>26</v>
      </c>
      <c r="B16" s="3">
        <v>45663</v>
      </c>
      <c r="C16" s="2" t="s">
        <v>27</v>
      </c>
      <c r="D16" s="2" t="s">
        <v>10</v>
      </c>
      <c r="E16" s="2" t="s">
        <v>23</v>
      </c>
      <c r="F16" s="2">
        <v>20</v>
      </c>
      <c r="G16" s="2">
        <v>2</v>
      </c>
      <c r="H16" s="2" t="s">
        <v>12</v>
      </c>
      <c r="I16" s="2" t="str">
        <f t="shared" si="0"/>
        <v>Flag</v>
      </c>
    </row>
    <row r="17" spans="1:9" hidden="1" x14ac:dyDescent="0.35">
      <c r="A17" s="2" t="s">
        <v>28</v>
      </c>
      <c r="B17" s="3">
        <v>45663</v>
      </c>
      <c r="C17" s="2" t="s">
        <v>18</v>
      </c>
      <c r="D17" s="2" t="s">
        <v>15</v>
      </c>
      <c r="E17" s="2" t="s">
        <v>16</v>
      </c>
      <c r="F17" s="2">
        <v>7</v>
      </c>
      <c r="G17" s="2">
        <v>5</v>
      </c>
      <c r="H17" s="2" t="s">
        <v>12</v>
      </c>
      <c r="I17" s="2" t="str">
        <f t="shared" si="0"/>
        <v/>
      </c>
    </row>
    <row r="18" spans="1:9" hidden="1" x14ac:dyDescent="0.35">
      <c r="A18" s="2" t="s">
        <v>29</v>
      </c>
      <c r="B18" s="3">
        <v>45664</v>
      </c>
      <c r="C18" s="2" t="s">
        <v>14</v>
      </c>
      <c r="D18" s="2" t="s">
        <v>19</v>
      </c>
      <c r="E18" s="2" t="s">
        <v>11</v>
      </c>
      <c r="F18" s="2">
        <v>9</v>
      </c>
      <c r="G18" s="2">
        <v>3</v>
      </c>
      <c r="H18" s="2" t="s">
        <v>12</v>
      </c>
      <c r="I18" s="2" t="str">
        <f t="shared" si="0"/>
        <v/>
      </c>
    </row>
    <row r="19" spans="1:9" hidden="1" x14ac:dyDescent="0.35">
      <c r="A19" s="2" t="s">
        <v>30</v>
      </c>
      <c r="B19" s="3">
        <v>45665</v>
      </c>
      <c r="C19" s="2" t="s">
        <v>9</v>
      </c>
      <c r="D19" s="2" t="s">
        <v>31</v>
      </c>
      <c r="E19" s="2" t="s">
        <v>11</v>
      </c>
      <c r="F19" s="2">
        <v>11</v>
      </c>
      <c r="G19" s="2">
        <v>4</v>
      </c>
      <c r="H19" s="2" t="s">
        <v>12</v>
      </c>
      <c r="I19" s="2" t="str">
        <f t="shared" si="0"/>
        <v/>
      </c>
    </row>
    <row r="20" spans="1:9" x14ac:dyDescent="0.35">
      <c r="A20" s="2" t="s">
        <v>32</v>
      </c>
      <c r="B20" s="3">
        <v>45665</v>
      </c>
      <c r="C20" s="2" t="s">
        <v>21</v>
      </c>
      <c r="D20" s="2" t="s">
        <v>10</v>
      </c>
      <c r="E20" s="2" t="s">
        <v>23</v>
      </c>
      <c r="F20" s="2">
        <v>22</v>
      </c>
      <c r="G20" s="2">
        <v>2</v>
      </c>
      <c r="H20" s="2" t="s">
        <v>12</v>
      </c>
      <c r="I20" s="2" t="str">
        <f t="shared" si="0"/>
        <v>Flag</v>
      </c>
    </row>
    <row r="21" spans="1:9" x14ac:dyDescent="0.35">
      <c r="A21" s="2" t="s">
        <v>33</v>
      </c>
      <c r="B21" s="3">
        <v>45666</v>
      </c>
      <c r="C21" s="2" t="s">
        <v>27</v>
      </c>
      <c r="D21" s="2" t="s">
        <v>22</v>
      </c>
      <c r="E21" s="2" t="s">
        <v>34</v>
      </c>
      <c r="F21" s="2">
        <v>30</v>
      </c>
      <c r="G21" s="2">
        <v>1</v>
      </c>
      <c r="H21" s="2" t="s">
        <v>12</v>
      </c>
      <c r="I21" s="2" t="str">
        <f t="shared" si="0"/>
        <v>Flag</v>
      </c>
    </row>
    <row r="22" spans="1:9" hidden="1" x14ac:dyDescent="0.35">
      <c r="A22" s="2" t="s">
        <v>35</v>
      </c>
      <c r="B22" s="3">
        <v>45667</v>
      </c>
      <c r="C22" s="2" t="s">
        <v>18</v>
      </c>
      <c r="D22" s="2" t="s">
        <v>19</v>
      </c>
      <c r="E22" s="2" t="s">
        <v>16</v>
      </c>
      <c r="F22" s="2">
        <v>5</v>
      </c>
      <c r="G22" s="2">
        <v>4</v>
      </c>
      <c r="H22" s="2" t="s">
        <v>12</v>
      </c>
      <c r="I22" s="2" t="str">
        <f t="shared" si="0"/>
        <v/>
      </c>
    </row>
    <row r="23" spans="1:9" hidden="1" x14ac:dyDescent="0.35">
      <c r="A23" s="2" t="s">
        <v>36</v>
      </c>
      <c r="B23" s="3">
        <v>45668</v>
      </c>
      <c r="C23" s="2" t="s">
        <v>9</v>
      </c>
      <c r="D23" s="2" t="s">
        <v>15</v>
      </c>
      <c r="E23" s="2" t="s">
        <v>16</v>
      </c>
      <c r="F23" s="2">
        <v>6</v>
      </c>
      <c r="G23" s="2">
        <v>5</v>
      </c>
      <c r="H23" s="2" t="s">
        <v>12</v>
      </c>
      <c r="I23" s="2" t="str">
        <f t="shared" si="0"/>
        <v/>
      </c>
    </row>
    <row r="24" spans="1:9" hidden="1" x14ac:dyDescent="0.35">
      <c r="A24" s="2" t="s">
        <v>37</v>
      </c>
      <c r="B24" s="3">
        <v>45669</v>
      </c>
      <c r="C24" s="2" t="s">
        <v>14</v>
      </c>
      <c r="D24" s="2" t="s">
        <v>25</v>
      </c>
      <c r="E24" s="2" t="s">
        <v>11</v>
      </c>
      <c r="F24" s="2">
        <v>13</v>
      </c>
      <c r="G24" s="2">
        <v>3</v>
      </c>
      <c r="H24" s="2" t="s">
        <v>12</v>
      </c>
      <c r="I24" s="2" t="str">
        <f t="shared" si="0"/>
        <v/>
      </c>
    </row>
    <row r="25" spans="1:9" hidden="1" x14ac:dyDescent="0.35">
      <c r="A25" s="2" t="s">
        <v>38</v>
      </c>
      <c r="B25" s="3">
        <v>45669</v>
      </c>
      <c r="C25" s="2" t="s">
        <v>21</v>
      </c>
      <c r="D25" s="2" t="s">
        <v>31</v>
      </c>
      <c r="E25" s="2" t="s">
        <v>11</v>
      </c>
      <c r="F25" s="2">
        <v>15</v>
      </c>
      <c r="G25" s="2">
        <v>4</v>
      </c>
      <c r="H25" s="2" t="s">
        <v>39</v>
      </c>
      <c r="I25" s="2" t="str">
        <f t="shared" si="0"/>
        <v/>
      </c>
    </row>
    <row r="26" spans="1:9" x14ac:dyDescent="0.35">
      <c r="A26" s="2" t="s">
        <v>40</v>
      </c>
      <c r="B26" s="3">
        <v>45670</v>
      </c>
      <c r="C26" s="2" t="s">
        <v>27</v>
      </c>
      <c r="D26" s="2" t="s">
        <v>10</v>
      </c>
      <c r="E26" s="2" t="s">
        <v>23</v>
      </c>
      <c r="F26" s="2">
        <v>19</v>
      </c>
      <c r="G26" s="2">
        <v>2</v>
      </c>
      <c r="H26" s="2" t="s">
        <v>12</v>
      </c>
      <c r="I26" s="2" t="str">
        <f t="shared" si="0"/>
        <v>Flag</v>
      </c>
    </row>
    <row r="27" spans="1:9" x14ac:dyDescent="0.35">
      <c r="A27" s="2" t="s">
        <v>41</v>
      </c>
      <c r="B27" s="3">
        <v>45671</v>
      </c>
      <c r="C27" s="2" t="s">
        <v>18</v>
      </c>
      <c r="D27" s="2" t="s">
        <v>22</v>
      </c>
      <c r="E27" s="2" t="s">
        <v>34</v>
      </c>
      <c r="F27" s="2">
        <v>28</v>
      </c>
      <c r="G27" s="2">
        <v>1</v>
      </c>
      <c r="H27" s="2" t="s">
        <v>12</v>
      </c>
      <c r="I27" s="2" t="str">
        <f t="shared" si="0"/>
        <v>Flag</v>
      </c>
    </row>
    <row r="28" spans="1:9" hidden="1" x14ac:dyDescent="0.35">
      <c r="A28" s="2" t="s">
        <v>42</v>
      </c>
      <c r="B28" s="3">
        <v>45672</v>
      </c>
      <c r="C28" s="2" t="s">
        <v>9</v>
      </c>
      <c r="D28" s="2" t="s">
        <v>19</v>
      </c>
      <c r="E28" s="2" t="s">
        <v>16</v>
      </c>
      <c r="F28" s="2">
        <v>4</v>
      </c>
      <c r="G28" s="2">
        <v>4</v>
      </c>
      <c r="H28" s="2" t="s">
        <v>12</v>
      </c>
      <c r="I28" s="2" t="str">
        <f t="shared" si="0"/>
        <v/>
      </c>
    </row>
    <row r="29" spans="1:9" hidden="1" x14ac:dyDescent="0.35">
      <c r="A29" s="2" t="s">
        <v>43</v>
      </c>
      <c r="B29" s="3">
        <v>45672</v>
      </c>
      <c r="C29" s="2" t="s">
        <v>14</v>
      </c>
      <c r="D29" s="2" t="s">
        <v>15</v>
      </c>
      <c r="E29" s="2" t="s">
        <v>16</v>
      </c>
      <c r="F29" s="2">
        <v>7</v>
      </c>
      <c r="G29" s="2">
        <v>5</v>
      </c>
      <c r="H29" s="2" t="s">
        <v>12</v>
      </c>
      <c r="I29" s="2" t="str">
        <f t="shared" si="0"/>
        <v/>
      </c>
    </row>
    <row r="30" spans="1:9" hidden="1" x14ac:dyDescent="0.35">
      <c r="A30" s="2" t="s">
        <v>44</v>
      </c>
      <c r="B30" s="3">
        <v>45673</v>
      </c>
      <c r="C30" s="2" t="s">
        <v>21</v>
      </c>
      <c r="D30" s="2" t="s">
        <v>25</v>
      </c>
      <c r="E30" s="2" t="s">
        <v>11</v>
      </c>
      <c r="F30" s="2">
        <v>14</v>
      </c>
      <c r="G30" s="2">
        <v>3</v>
      </c>
      <c r="H30" s="2" t="s">
        <v>12</v>
      </c>
      <c r="I30" s="2" t="str">
        <f t="shared" si="0"/>
        <v/>
      </c>
    </row>
    <row r="31" spans="1:9" x14ac:dyDescent="0.35">
      <c r="A31" s="2" t="s">
        <v>45</v>
      </c>
      <c r="B31" s="3">
        <v>45674</v>
      </c>
      <c r="C31" s="2" t="s">
        <v>27</v>
      </c>
      <c r="D31" s="2" t="s">
        <v>31</v>
      </c>
      <c r="E31" s="2" t="s">
        <v>11</v>
      </c>
      <c r="F31" s="2">
        <v>16</v>
      </c>
      <c r="G31" s="2">
        <v>4</v>
      </c>
      <c r="H31" s="2" t="s">
        <v>39</v>
      </c>
      <c r="I31" s="2" t="str">
        <f t="shared" si="0"/>
        <v>Flag</v>
      </c>
    </row>
    <row r="32" spans="1:9" x14ac:dyDescent="0.35">
      <c r="A32" s="2" t="s">
        <v>46</v>
      </c>
      <c r="B32" s="3">
        <v>45675</v>
      </c>
      <c r="C32" s="2" t="s">
        <v>18</v>
      </c>
      <c r="D32" s="2" t="s">
        <v>10</v>
      </c>
      <c r="E32" s="2" t="s">
        <v>23</v>
      </c>
      <c r="F32" s="2">
        <v>21</v>
      </c>
      <c r="G32" s="2">
        <v>2</v>
      </c>
      <c r="H32" s="2" t="s">
        <v>12</v>
      </c>
      <c r="I32" s="2" t="str">
        <f t="shared" si="0"/>
        <v>Flag</v>
      </c>
    </row>
    <row r="33" spans="1:9" x14ac:dyDescent="0.35">
      <c r="A33" s="2" t="s">
        <v>47</v>
      </c>
      <c r="B33" s="3">
        <v>45675</v>
      </c>
      <c r="C33" s="2" t="s">
        <v>9</v>
      </c>
      <c r="D33" s="2" t="s">
        <v>22</v>
      </c>
      <c r="E33" s="2" t="s">
        <v>34</v>
      </c>
      <c r="F33" s="2">
        <v>25</v>
      </c>
      <c r="G33" s="2">
        <v>1</v>
      </c>
      <c r="H33" s="2" t="s">
        <v>12</v>
      </c>
      <c r="I33" s="2" t="str">
        <f t="shared" si="0"/>
        <v>Flag</v>
      </c>
    </row>
    <row r="34" spans="1:9" hidden="1" x14ac:dyDescent="0.35">
      <c r="A34" s="2" t="s">
        <v>48</v>
      </c>
      <c r="B34" s="3">
        <v>45676</v>
      </c>
      <c r="C34" s="2" t="s">
        <v>14</v>
      </c>
      <c r="D34" s="2" t="s">
        <v>19</v>
      </c>
      <c r="E34" s="2" t="s">
        <v>16</v>
      </c>
      <c r="F34" s="2">
        <v>6</v>
      </c>
      <c r="G34" s="2">
        <v>4</v>
      </c>
      <c r="H34" s="2" t="s">
        <v>12</v>
      </c>
      <c r="I34" s="2" t="str">
        <f t="shared" si="0"/>
        <v/>
      </c>
    </row>
    <row r="35" spans="1:9" hidden="1" x14ac:dyDescent="0.35">
      <c r="A35" s="2" t="s">
        <v>49</v>
      </c>
      <c r="B35" s="3">
        <v>45677</v>
      </c>
      <c r="C35" s="2" t="s">
        <v>21</v>
      </c>
      <c r="D35" s="2" t="s">
        <v>15</v>
      </c>
      <c r="E35" s="2" t="s">
        <v>16</v>
      </c>
      <c r="F35" s="2">
        <v>8</v>
      </c>
      <c r="G35" s="2">
        <v>5</v>
      </c>
      <c r="H35" s="2" t="s">
        <v>12</v>
      </c>
      <c r="I35" s="2" t="str">
        <f t="shared" si="0"/>
        <v/>
      </c>
    </row>
    <row r="36" spans="1:9" x14ac:dyDescent="0.35">
      <c r="A36" s="2" t="s">
        <v>50</v>
      </c>
      <c r="B36" s="3">
        <v>45678</v>
      </c>
      <c r="C36" s="2" t="s">
        <v>27</v>
      </c>
      <c r="D36" s="2" t="s">
        <v>25</v>
      </c>
      <c r="E36" s="2" t="s">
        <v>23</v>
      </c>
      <c r="F36" s="2">
        <v>17</v>
      </c>
      <c r="G36" s="2">
        <v>2</v>
      </c>
      <c r="H36" s="2" t="s">
        <v>12</v>
      </c>
      <c r="I36" s="2" t="str">
        <f t="shared" si="0"/>
        <v>Flag</v>
      </c>
    </row>
    <row r="37" spans="1:9" hidden="1" x14ac:dyDescent="0.35">
      <c r="A37" s="2" t="s">
        <v>51</v>
      </c>
      <c r="B37" s="3">
        <v>45679</v>
      </c>
      <c r="C37" s="2" t="s">
        <v>18</v>
      </c>
      <c r="D37" s="2" t="s">
        <v>31</v>
      </c>
      <c r="E37" s="2" t="s">
        <v>11</v>
      </c>
      <c r="F37" s="2">
        <v>12</v>
      </c>
      <c r="G37" s="2">
        <v>4</v>
      </c>
      <c r="H37" s="2" t="s">
        <v>12</v>
      </c>
      <c r="I37" s="2" t="str">
        <f t="shared" si="0"/>
        <v/>
      </c>
    </row>
    <row r="38" spans="1:9" x14ac:dyDescent="0.35">
      <c r="A38" s="2" t="s">
        <v>52</v>
      </c>
      <c r="B38" s="3">
        <v>45680</v>
      </c>
      <c r="C38" s="2" t="s">
        <v>9</v>
      </c>
      <c r="D38" s="2" t="s">
        <v>10</v>
      </c>
      <c r="E38" s="2" t="s">
        <v>23</v>
      </c>
      <c r="F38" s="2">
        <v>20</v>
      </c>
      <c r="G38" s="2">
        <v>2</v>
      </c>
      <c r="H38" s="2" t="s">
        <v>12</v>
      </c>
      <c r="I38" s="2" t="str">
        <f t="shared" si="0"/>
        <v>Flag</v>
      </c>
    </row>
    <row r="39" spans="1:9" x14ac:dyDescent="0.35">
      <c r="A39" s="2" t="s">
        <v>53</v>
      </c>
      <c r="B39" s="3">
        <v>45681</v>
      </c>
      <c r="C39" s="2" t="s">
        <v>14</v>
      </c>
      <c r="D39" s="2" t="s">
        <v>22</v>
      </c>
      <c r="E39" s="2" t="s">
        <v>34</v>
      </c>
      <c r="F39" s="2">
        <v>27</v>
      </c>
      <c r="G39" s="2">
        <v>1</v>
      </c>
      <c r="H39" s="2" t="s">
        <v>12</v>
      </c>
      <c r="I39" s="2" t="str">
        <f t="shared" si="0"/>
        <v>Flag</v>
      </c>
    </row>
  </sheetData>
  <mergeCells count="3">
    <mergeCell ref="B1:C1"/>
    <mergeCell ref="D1:E1"/>
    <mergeCell ref="B2:C5"/>
  </mergeCell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88A897-82F7-4AD1-8893-A5DB78FEAAB9}">
  <dimension ref="A1:H30"/>
  <sheetViews>
    <sheetView workbookViewId="0">
      <selection activeCell="H10" sqref="H10"/>
    </sheetView>
  </sheetViews>
  <sheetFormatPr defaultRowHeight="14.5" x14ac:dyDescent="0.35"/>
  <cols>
    <col min="2" max="2" width="10.08984375" style="21" bestFit="1" customWidth="1"/>
  </cols>
  <sheetData>
    <row r="1" spans="1:8" x14ac:dyDescent="0.35">
      <c r="A1" t="s">
        <v>0</v>
      </c>
      <c r="B1" s="21" t="s">
        <v>1</v>
      </c>
      <c r="C1" t="s">
        <v>2</v>
      </c>
      <c r="D1" t="s">
        <v>3</v>
      </c>
      <c r="E1" t="s">
        <v>4</v>
      </c>
      <c r="F1" t="s">
        <v>5</v>
      </c>
      <c r="G1" t="s">
        <v>6</v>
      </c>
      <c r="H1" t="s">
        <v>7</v>
      </c>
    </row>
    <row r="2" spans="1:8" x14ac:dyDescent="0.35">
      <c r="A2" t="s">
        <v>8</v>
      </c>
      <c r="B2" s="21">
        <v>45659</v>
      </c>
      <c r="C2" t="s">
        <v>9</v>
      </c>
      <c r="D2" t="s">
        <v>10</v>
      </c>
      <c r="E2" t="s">
        <v>11</v>
      </c>
      <c r="F2">
        <v>12</v>
      </c>
      <c r="G2">
        <v>3</v>
      </c>
      <c r="H2" t="s">
        <v>12</v>
      </c>
    </row>
    <row r="3" spans="1:8" x14ac:dyDescent="0.35">
      <c r="A3" t="s">
        <v>13</v>
      </c>
      <c r="B3" s="21">
        <v>45660</v>
      </c>
      <c r="C3" t="s">
        <v>14</v>
      </c>
      <c r="D3" t="s">
        <v>15</v>
      </c>
      <c r="E3" t="s">
        <v>16</v>
      </c>
      <c r="F3">
        <v>8</v>
      </c>
      <c r="G3">
        <v>5</v>
      </c>
      <c r="H3" t="s">
        <v>12</v>
      </c>
    </row>
    <row r="4" spans="1:8" x14ac:dyDescent="0.35">
      <c r="A4" t="s">
        <v>17</v>
      </c>
      <c r="B4" s="21">
        <v>45660</v>
      </c>
      <c r="C4" t="s">
        <v>18</v>
      </c>
      <c r="D4" t="s">
        <v>19</v>
      </c>
      <c r="E4" t="s">
        <v>16</v>
      </c>
      <c r="F4">
        <v>6</v>
      </c>
      <c r="G4">
        <v>4</v>
      </c>
      <c r="H4" t="s">
        <v>12</v>
      </c>
    </row>
    <row r="5" spans="1:8" x14ac:dyDescent="0.35">
      <c r="A5" t="s">
        <v>20</v>
      </c>
      <c r="B5" s="21">
        <v>45661</v>
      </c>
      <c r="C5" t="s">
        <v>21</v>
      </c>
      <c r="D5" t="s">
        <v>22</v>
      </c>
      <c r="E5" t="s">
        <v>23</v>
      </c>
      <c r="F5">
        <v>18</v>
      </c>
      <c r="G5">
        <v>2</v>
      </c>
      <c r="H5" t="s">
        <v>12</v>
      </c>
    </row>
    <row r="6" spans="1:8" x14ac:dyDescent="0.35">
      <c r="A6" t="s">
        <v>24</v>
      </c>
      <c r="B6" s="21">
        <v>45662</v>
      </c>
      <c r="C6" t="s">
        <v>9</v>
      </c>
      <c r="D6" t="s">
        <v>25</v>
      </c>
      <c r="E6" t="s">
        <v>11</v>
      </c>
      <c r="F6">
        <v>10</v>
      </c>
      <c r="G6">
        <v>3</v>
      </c>
      <c r="H6" t="s">
        <v>12</v>
      </c>
    </row>
    <row r="7" spans="1:8" x14ac:dyDescent="0.35">
      <c r="A7" t="s">
        <v>26</v>
      </c>
      <c r="B7" s="21">
        <v>45663</v>
      </c>
      <c r="C7" t="s">
        <v>27</v>
      </c>
      <c r="D7" t="s">
        <v>10</v>
      </c>
      <c r="E7" t="s">
        <v>23</v>
      </c>
      <c r="F7">
        <v>20</v>
      </c>
      <c r="G7">
        <v>2</v>
      </c>
      <c r="H7" t="s">
        <v>12</v>
      </c>
    </row>
    <row r="8" spans="1:8" x14ac:dyDescent="0.35">
      <c r="A8" t="s">
        <v>28</v>
      </c>
      <c r="B8" s="21">
        <v>45663</v>
      </c>
      <c r="C8" t="s">
        <v>18</v>
      </c>
      <c r="D8" t="s">
        <v>15</v>
      </c>
      <c r="E8" t="s">
        <v>16</v>
      </c>
      <c r="F8">
        <v>7</v>
      </c>
      <c r="G8">
        <v>5</v>
      </c>
      <c r="H8" t="s">
        <v>12</v>
      </c>
    </row>
    <row r="9" spans="1:8" x14ac:dyDescent="0.35">
      <c r="A9" t="s">
        <v>29</v>
      </c>
      <c r="B9" s="21">
        <v>45664</v>
      </c>
      <c r="C9" t="s">
        <v>14</v>
      </c>
      <c r="D9" t="s">
        <v>19</v>
      </c>
      <c r="E9" t="s">
        <v>11</v>
      </c>
      <c r="F9">
        <v>9</v>
      </c>
      <c r="G9">
        <v>3</v>
      </c>
      <c r="H9" t="s">
        <v>12</v>
      </c>
    </row>
    <row r="10" spans="1:8" x14ac:dyDescent="0.35">
      <c r="A10" t="s">
        <v>30</v>
      </c>
      <c r="B10" s="21">
        <v>45665</v>
      </c>
      <c r="C10" t="s">
        <v>9</v>
      </c>
      <c r="D10" t="s">
        <v>31</v>
      </c>
      <c r="E10" t="s">
        <v>11</v>
      </c>
      <c r="F10">
        <v>11</v>
      </c>
      <c r="G10">
        <v>4</v>
      </c>
      <c r="H10" t="s">
        <v>12</v>
      </c>
    </row>
    <row r="11" spans="1:8" x14ac:dyDescent="0.35">
      <c r="A11" t="s">
        <v>32</v>
      </c>
      <c r="B11" s="21">
        <v>45665</v>
      </c>
      <c r="C11" t="s">
        <v>21</v>
      </c>
      <c r="D11" t="s">
        <v>10</v>
      </c>
      <c r="E11" t="s">
        <v>23</v>
      </c>
      <c r="F11">
        <v>22</v>
      </c>
      <c r="G11">
        <v>2</v>
      </c>
      <c r="H11" t="s">
        <v>12</v>
      </c>
    </row>
    <row r="12" spans="1:8" x14ac:dyDescent="0.35">
      <c r="A12" t="s">
        <v>33</v>
      </c>
      <c r="B12" s="21">
        <v>45666</v>
      </c>
      <c r="C12" t="s">
        <v>27</v>
      </c>
      <c r="D12" t="s">
        <v>22</v>
      </c>
      <c r="E12" t="s">
        <v>34</v>
      </c>
      <c r="F12">
        <v>30</v>
      </c>
      <c r="G12">
        <v>1</v>
      </c>
      <c r="H12" t="s">
        <v>12</v>
      </c>
    </row>
    <row r="13" spans="1:8" x14ac:dyDescent="0.35">
      <c r="A13" t="s">
        <v>35</v>
      </c>
      <c r="B13" s="21">
        <v>45667</v>
      </c>
      <c r="C13" t="s">
        <v>18</v>
      </c>
      <c r="D13" t="s">
        <v>19</v>
      </c>
      <c r="E13" t="s">
        <v>16</v>
      </c>
      <c r="F13">
        <v>5</v>
      </c>
      <c r="G13">
        <v>4</v>
      </c>
      <c r="H13" t="s">
        <v>12</v>
      </c>
    </row>
    <row r="14" spans="1:8" x14ac:dyDescent="0.35">
      <c r="A14" t="s">
        <v>36</v>
      </c>
      <c r="B14" s="21">
        <v>45668</v>
      </c>
      <c r="C14" t="s">
        <v>9</v>
      </c>
      <c r="D14" t="s">
        <v>15</v>
      </c>
      <c r="E14" t="s">
        <v>16</v>
      </c>
      <c r="F14">
        <v>6</v>
      </c>
      <c r="G14">
        <v>5</v>
      </c>
      <c r="H14" t="s">
        <v>12</v>
      </c>
    </row>
    <row r="15" spans="1:8" x14ac:dyDescent="0.35">
      <c r="A15" t="s">
        <v>37</v>
      </c>
      <c r="B15" s="21">
        <v>45669</v>
      </c>
      <c r="C15" t="s">
        <v>14</v>
      </c>
      <c r="D15" t="s">
        <v>25</v>
      </c>
      <c r="E15" t="s">
        <v>11</v>
      </c>
      <c r="F15">
        <v>13</v>
      </c>
      <c r="G15">
        <v>3</v>
      </c>
      <c r="H15" t="s">
        <v>12</v>
      </c>
    </row>
    <row r="16" spans="1:8" x14ac:dyDescent="0.35">
      <c r="A16" t="s">
        <v>38</v>
      </c>
      <c r="B16" s="21">
        <v>45669</v>
      </c>
      <c r="C16" t="s">
        <v>21</v>
      </c>
      <c r="D16" t="s">
        <v>31</v>
      </c>
      <c r="E16" t="s">
        <v>11</v>
      </c>
      <c r="F16">
        <v>15</v>
      </c>
      <c r="G16">
        <v>4</v>
      </c>
      <c r="H16" t="s">
        <v>39</v>
      </c>
    </row>
    <row r="17" spans="1:8" x14ac:dyDescent="0.35">
      <c r="A17" t="s">
        <v>40</v>
      </c>
      <c r="B17" s="21">
        <v>45670</v>
      </c>
      <c r="C17" t="s">
        <v>27</v>
      </c>
      <c r="D17" t="s">
        <v>10</v>
      </c>
      <c r="E17" t="s">
        <v>23</v>
      </c>
      <c r="F17">
        <v>19</v>
      </c>
      <c r="G17">
        <v>2</v>
      </c>
      <c r="H17" t="s">
        <v>12</v>
      </c>
    </row>
    <row r="18" spans="1:8" x14ac:dyDescent="0.35">
      <c r="A18" t="s">
        <v>41</v>
      </c>
      <c r="B18" s="21">
        <v>45671</v>
      </c>
      <c r="C18" t="s">
        <v>18</v>
      </c>
      <c r="D18" t="s">
        <v>22</v>
      </c>
      <c r="E18" t="s">
        <v>34</v>
      </c>
      <c r="F18">
        <v>28</v>
      </c>
      <c r="G18">
        <v>1</v>
      </c>
      <c r="H18" t="s">
        <v>12</v>
      </c>
    </row>
    <row r="19" spans="1:8" x14ac:dyDescent="0.35">
      <c r="A19" t="s">
        <v>42</v>
      </c>
      <c r="B19" s="21">
        <v>45672</v>
      </c>
      <c r="C19" t="s">
        <v>9</v>
      </c>
      <c r="D19" t="s">
        <v>19</v>
      </c>
      <c r="E19" t="s">
        <v>16</v>
      </c>
      <c r="F19">
        <v>4</v>
      </c>
      <c r="G19">
        <v>4</v>
      </c>
      <c r="H19" t="s">
        <v>12</v>
      </c>
    </row>
    <row r="20" spans="1:8" x14ac:dyDescent="0.35">
      <c r="A20" t="s">
        <v>43</v>
      </c>
      <c r="B20" s="21">
        <v>45672</v>
      </c>
      <c r="C20" t="s">
        <v>14</v>
      </c>
      <c r="D20" t="s">
        <v>15</v>
      </c>
      <c r="E20" t="s">
        <v>16</v>
      </c>
      <c r="F20">
        <v>7</v>
      </c>
      <c r="G20">
        <v>5</v>
      </c>
      <c r="H20" t="s">
        <v>12</v>
      </c>
    </row>
    <row r="21" spans="1:8" x14ac:dyDescent="0.35">
      <c r="A21" t="s">
        <v>44</v>
      </c>
      <c r="B21" s="21">
        <v>45673</v>
      </c>
      <c r="C21" t="s">
        <v>21</v>
      </c>
      <c r="D21" t="s">
        <v>25</v>
      </c>
      <c r="E21" t="s">
        <v>11</v>
      </c>
      <c r="F21">
        <v>14</v>
      </c>
      <c r="G21">
        <v>3</v>
      </c>
      <c r="H21" t="s">
        <v>12</v>
      </c>
    </row>
    <row r="22" spans="1:8" x14ac:dyDescent="0.35">
      <c r="A22" t="s">
        <v>45</v>
      </c>
      <c r="B22" s="21">
        <v>45674</v>
      </c>
      <c r="C22" t="s">
        <v>27</v>
      </c>
      <c r="D22" t="s">
        <v>31</v>
      </c>
      <c r="E22" t="s">
        <v>11</v>
      </c>
      <c r="F22">
        <v>16</v>
      </c>
      <c r="G22">
        <v>4</v>
      </c>
      <c r="H22" t="s">
        <v>39</v>
      </c>
    </row>
    <row r="23" spans="1:8" x14ac:dyDescent="0.35">
      <c r="A23" t="s">
        <v>46</v>
      </c>
      <c r="B23" s="21">
        <v>45675</v>
      </c>
      <c r="C23" t="s">
        <v>18</v>
      </c>
      <c r="D23" t="s">
        <v>10</v>
      </c>
      <c r="E23" t="s">
        <v>23</v>
      </c>
      <c r="F23">
        <v>21</v>
      </c>
      <c r="G23">
        <v>2</v>
      </c>
      <c r="H23" t="s">
        <v>12</v>
      </c>
    </row>
    <row r="24" spans="1:8" x14ac:dyDescent="0.35">
      <c r="A24" t="s">
        <v>47</v>
      </c>
      <c r="B24" s="21">
        <v>45675</v>
      </c>
      <c r="C24" t="s">
        <v>9</v>
      </c>
      <c r="D24" t="s">
        <v>22</v>
      </c>
      <c r="E24" t="s">
        <v>34</v>
      </c>
      <c r="F24">
        <v>25</v>
      </c>
      <c r="G24">
        <v>1</v>
      </c>
      <c r="H24" t="s">
        <v>12</v>
      </c>
    </row>
    <row r="25" spans="1:8" x14ac:dyDescent="0.35">
      <c r="A25" t="s">
        <v>48</v>
      </c>
      <c r="B25" s="21">
        <v>45676</v>
      </c>
      <c r="C25" t="s">
        <v>14</v>
      </c>
      <c r="D25" t="s">
        <v>19</v>
      </c>
      <c r="E25" t="s">
        <v>16</v>
      </c>
      <c r="F25">
        <v>6</v>
      </c>
      <c r="G25">
        <v>4</v>
      </c>
      <c r="H25" t="s">
        <v>12</v>
      </c>
    </row>
    <row r="26" spans="1:8" x14ac:dyDescent="0.35">
      <c r="A26" t="s">
        <v>49</v>
      </c>
      <c r="B26" s="21">
        <v>45677</v>
      </c>
      <c r="C26" t="s">
        <v>21</v>
      </c>
      <c r="D26" t="s">
        <v>15</v>
      </c>
      <c r="E26" t="s">
        <v>16</v>
      </c>
      <c r="F26">
        <v>8</v>
      </c>
      <c r="G26">
        <v>5</v>
      </c>
      <c r="H26" t="s">
        <v>12</v>
      </c>
    </row>
    <row r="27" spans="1:8" x14ac:dyDescent="0.35">
      <c r="A27" t="s">
        <v>50</v>
      </c>
      <c r="B27" s="21">
        <v>45678</v>
      </c>
      <c r="C27" t="s">
        <v>27</v>
      </c>
      <c r="D27" t="s">
        <v>25</v>
      </c>
      <c r="E27" t="s">
        <v>23</v>
      </c>
      <c r="F27">
        <v>17</v>
      </c>
      <c r="G27">
        <v>2</v>
      </c>
      <c r="H27" t="s">
        <v>12</v>
      </c>
    </row>
    <row r="28" spans="1:8" x14ac:dyDescent="0.35">
      <c r="A28" t="s">
        <v>51</v>
      </c>
      <c r="B28" s="21">
        <v>45679</v>
      </c>
      <c r="C28" t="s">
        <v>18</v>
      </c>
      <c r="D28" t="s">
        <v>31</v>
      </c>
      <c r="E28" t="s">
        <v>11</v>
      </c>
      <c r="F28">
        <v>12</v>
      </c>
      <c r="G28">
        <v>4</v>
      </c>
      <c r="H28" t="s">
        <v>12</v>
      </c>
    </row>
    <row r="29" spans="1:8" x14ac:dyDescent="0.35">
      <c r="A29" t="s">
        <v>52</v>
      </c>
      <c r="B29" s="21">
        <v>45680</v>
      </c>
      <c r="C29" t="s">
        <v>9</v>
      </c>
      <c r="D29" t="s">
        <v>10</v>
      </c>
      <c r="E29" t="s">
        <v>23</v>
      </c>
      <c r="F29">
        <v>20</v>
      </c>
      <c r="G29">
        <v>2</v>
      </c>
      <c r="H29" t="s">
        <v>12</v>
      </c>
    </row>
    <row r="30" spans="1:8" x14ac:dyDescent="0.35">
      <c r="A30" t="s">
        <v>53</v>
      </c>
      <c r="B30" s="21">
        <v>45681</v>
      </c>
      <c r="C30" t="s">
        <v>14</v>
      </c>
      <c r="D30" t="s">
        <v>22</v>
      </c>
      <c r="E30" t="s">
        <v>34</v>
      </c>
      <c r="F30">
        <v>27</v>
      </c>
      <c r="G30">
        <v>1</v>
      </c>
      <c r="H30" t="s">
        <v>12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47659A-F62E-4F62-8DA1-4BB1F734C689}">
  <dimension ref="B4:S42"/>
  <sheetViews>
    <sheetView zoomScale="85" zoomScaleNormal="85" workbookViewId="0">
      <selection activeCell="U17" sqref="U17"/>
    </sheetView>
  </sheetViews>
  <sheetFormatPr defaultRowHeight="14.5" x14ac:dyDescent="0.35"/>
  <cols>
    <col min="1" max="1" width="3.90625" style="15" customWidth="1"/>
    <col min="2" max="18" width="8.7265625" style="15"/>
    <col min="19" max="19" width="10.1796875" style="15" customWidth="1"/>
    <col min="20" max="16384" width="8.7265625" style="15"/>
  </cols>
  <sheetData>
    <row r="4" spans="2:19" x14ac:dyDescent="0.35">
      <c r="B4" s="16"/>
      <c r="C4" s="16"/>
      <c r="D4" s="16"/>
      <c r="E4" s="16"/>
      <c r="F4" s="16"/>
      <c r="G4" s="16"/>
      <c r="H4" s="16"/>
      <c r="I4" s="16"/>
      <c r="J4" s="16"/>
      <c r="K4" s="16"/>
      <c r="L4" s="16"/>
      <c r="M4" s="16"/>
      <c r="N4" s="16"/>
      <c r="O4" s="16"/>
      <c r="P4" s="16"/>
      <c r="Q4" s="16"/>
      <c r="R4" s="16"/>
      <c r="S4" s="16"/>
    </row>
    <row r="5" spans="2:19" x14ac:dyDescent="0.35">
      <c r="B5" s="16"/>
      <c r="C5" s="16"/>
      <c r="D5" s="16"/>
      <c r="E5" s="16"/>
      <c r="F5" s="16"/>
      <c r="G5" s="16"/>
      <c r="H5" s="16"/>
      <c r="I5" s="16"/>
      <c r="J5" s="16"/>
      <c r="K5" s="16"/>
      <c r="L5" s="16"/>
      <c r="M5" s="16"/>
      <c r="N5" s="16"/>
      <c r="O5" s="16"/>
      <c r="P5" s="16"/>
      <c r="Q5" s="16"/>
      <c r="R5" s="16"/>
      <c r="S5" s="16"/>
    </row>
    <row r="6" spans="2:19" x14ac:dyDescent="0.35">
      <c r="B6" s="16"/>
      <c r="C6" s="16"/>
      <c r="D6" s="16"/>
      <c r="E6" s="16"/>
      <c r="F6" s="16"/>
      <c r="G6" s="16"/>
      <c r="H6" s="16"/>
      <c r="I6" s="16"/>
      <c r="J6" s="16"/>
      <c r="K6" s="16"/>
      <c r="L6" s="16"/>
      <c r="M6" s="16"/>
      <c r="N6" s="16"/>
      <c r="O6" s="16"/>
      <c r="P6" s="16"/>
      <c r="Q6" s="16"/>
      <c r="R6" s="16"/>
      <c r="S6" s="16"/>
    </row>
    <row r="7" spans="2:19" x14ac:dyDescent="0.35">
      <c r="B7" s="16"/>
      <c r="C7" s="16"/>
      <c r="D7" s="16"/>
      <c r="E7" s="16"/>
      <c r="F7" s="16"/>
      <c r="G7" s="16"/>
      <c r="H7" s="16"/>
      <c r="I7" s="16"/>
      <c r="J7" s="16"/>
      <c r="K7" s="16"/>
      <c r="L7" s="16"/>
      <c r="M7" s="16"/>
      <c r="N7" s="16"/>
      <c r="O7" s="16"/>
      <c r="P7" s="16"/>
      <c r="Q7" s="16"/>
      <c r="R7" s="16"/>
      <c r="S7" s="16"/>
    </row>
    <row r="8" spans="2:19" x14ac:dyDescent="0.35">
      <c r="B8" s="16"/>
      <c r="C8" s="16"/>
      <c r="D8" s="16"/>
      <c r="E8" s="16"/>
      <c r="F8" s="16"/>
      <c r="G8" s="16"/>
      <c r="H8" s="16"/>
      <c r="I8" s="16"/>
      <c r="J8" s="16"/>
      <c r="K8" s="16"/>
      <c r="L8" s="16"/>
      <c r="M8" s="16"/>
      <c r="N8" s="16"/>
      <c r="O8" s="16"/>
      <c r="P8" s="16"/>
      <c r="Q8" s="16"/>
      <c r="R8" s="16"/>
      <c r="S8" s="16"/>
    </row>
    <row r="9" spans="2:19" x14ac:dyDescent="0.35">
      <c r="B9" s="16"/>
      <c r="C9" s="16"/>
      <c r="D9" s="16"/>
      <c r="E9" s="16"/>
      <c r="F9" s="16"/>
      <c r="G9" s="16"/>
      <c r="H9" s="16"/>
      <c r="I9" s="16"/>
      <c r="J9" s="16"/>
      <c r="K9" s="16"/>
      <c r="L9" s="16"/>
      <c r="M9" s="16"/>
      <c r="N9" s="16"/>
      <c r="O9" s="16"/>
      <c r="P9" s="16"/>
      <c r="Q9" s="16"/>
      <c r="R9" s="16"/>
      <c r="S9" s="16"/>
    </row>
    <row r="10" spans="2:19" x14ac:dyDescent="0.35">
      <c r="B10" s="16"/>
      <c r="C10" s="16"/>
      <c r="D10" s="16"/>
      <c r="E10" s="16"/>
      <c r="F10" s="16"/>
      <c r="G10" s="16"/>
      <c r="H10" s="16"/>
      <c r="I10" s="16"/>
      <c r="J10" s="16"/>
      <c r="K10" s="16"/>
      <c r="L10" s="16"/>
      <c r="M10" s="16"/>
      <c r="N10" s="16"/>
      <c r="O10" s="16"/>
      <c r="P10" s="16"/>
      <c r="Q10" s="16"/>
      <c r="R10" s="16"/>
      <c r="S10" s="16"/>
    </row>
    <row r="11" spans="2:19" x14ac:dyDescent="0.35">
      <c r="B11" s="16"/>
      <c r="C11" s="16"/>
      <c r="D11" s="16"/>
      <c r="E11" s="16"/>
      <c r="F11" s="16"/>
      <c r="G11" s="16"/>
      <c r="H11" s="16"/>
      <c r="I11" s="16"/>
      <c r="J11" s="16"/>
      <c r="K11" s="16"/>
      <c r="L11" s="16"/>
      <c r="M11" s="16"/>
      <c r="N11" s="16"/>
      <c r="O11" s="16"/>
      <c r="P11" s="16"/>
      <c r="Q11" s="16"/>
      <c r="R11" s="16"/>
      <c r="S11" s="16"/>
    </row>
    <row r="12" spans="2:19" x14ac:dyDescent="0.35">
      <c r="B12" s="16"/>
      <c r="C12" s="16"/>
      <c r="D12" s="16"/>
      <c r="E12" s="16"/>
      <c r="F12" s="16"/>
      <c r="G12" s="16"/>
      <c r="H12" s="16"/>
      <c r="I12" s="16"/>
      <c r="J12" s="16"/>
      <c r="K12" s="16"/>
      <c r="L12" s="16"/>
      <c r="M12" s="16"/>
      <c r="N12" s="16"/>
      <c r="O12" s="16"/>
      <c r="P12" s="16"/>
      <c r="Q12" s="16"/>
      <c r="R12" s="16"/>
      <c r="S12" s="16"/>
    </row>
    <row r="13" spans="2:19" x14ac:dyDescent="0.35">
      <c r="B13" s="16"/>
      <c r="C13" s="16"/>
      <c r="D13" s="16"/>
      <c r="E13" s="16"/>
      <c r="F13" s="16"/>
      <c r="G13" s="16"/>
      <c r="H13" s="16"/>
      <c r="I13" s="16"/>
      <c r="J13" s="16"/>
      <c r="K13" s="16"/>
      <c r="L13" s="16"/>
      <c r="M13" s="16"/>
      <c r="N13" s="16"/>
      <c r="O13" s="16"/>
      <c r="P13" s="16"/>
      <c r="Q13" s="16"/>
      <c r="R13" s="16"/>
      <c r="S13" s="16"/>
    </row>
    <row r="14" spans="2:19" x14ac:dyDescent="0.35">
      <c r="B14" s="16"/>
      <c r="C14" s="16"/>
      <c r="D14" s="16"/>
      <c r="E14" s="16"/>
      <c r="F14" s="16"/>
      <c r="G14" s="16"/>
      <c r="H14" s="16"/>
      <c r="I14" s="16"/>
      <c r="J14" s="16"/>
      <c r="K14" s="16"/>
      <c r="L14" s="16"/>
      <c r="M14" s="16"/>
      <c r="N14" s="16"/>
      <c r="O14" s="16"/>
      <c r="P14" s="16"/>
      <c r="Q14" s="16"/>
      <c r="R14" s="16"/>
      <c r="S14" s="16"/>
    </row>
    <row r="15" spans="2:19" x14ac:dyDescent="0.35">
      <c r="B15" s="16"/>
      <c r="C15" s="16"/>
      <c r="D15" s="16"/>
      <c r="E15" s="16"/>
      <c r="F15" s="16"/>
      <c r="G15" s="16"/>
      <c r="H15" s="16"/>
      <c r="I15" s="16"/>
      <c r="J15" s="16"/>
      <c r="K15" s="16"/>
      <c r="L15" s="16"/>
      <c r="M15" s="16"/>
      <c r="N15" s="16"/>
      <c r="O15" s="16"/>
      <c r="P15" s="16"/>
      <c r="Q15" s="16"/>
      <c r="R15" s="16"/>
      <c r="S15" s="16"/>
    </row>
    <row r="16" spans="2:19" x14ac:dyDescent="0.35">
      <c r="B16" s="16"/>
      <c r="C16" s="16"/>
      <c r="D16" s="16"/>
      <c r="E16" s="16"/>
      <c r="F16" s="16"/>
      <c r="G16" s="16"/>
      <c r="H16" s="16"/>
      <c r="I16" s="16"/>
      <c r="J16" s="16"/>
      <c r="K16" s="16"/>
      <c r="L16" s="16"/>
      <c r="M16" s="16"/>
      <c r="N16" s="16"/>
      <c r="O16" s="16"/>
      <c r="P16" s="16"/>
      <c r="Q16" s="16"/>
      <c r="R16" s="16"/>
      <c r="S16" s="16"/>
    </row>
    <row r="17" spans="2:19" x14ac:dyDescent="0.35">
      <c r="B17" s="16"/>
      <c r="C17" s="16"/>
      <c r="D17" s="16"/>
      <c r="E17" s="16"/>
      <c r="F17" s="16"/>
      <c r="G17" s="16"/>
      <c r="H17" s="16"/>
      <c r="I17" s="16"/>
      <c r="J17" s="16"/>
      <c r="K17" s="16"/>
      <c r="L17" s="16"/>
      <c r="M17" s="16"/>
      <c r="N17" s="16"/>
      <c r="O17" s="16"/>
      <c r="P17" s="16"/>
      <c r="Q17" s="16"/>
      <c r="R17" s="16"/>
      <c r="S17" s="16"/>
    </row>
    <row r="18" spans="2:19" x14ac:dyDescent="0.35">
      <c r="B18" s="16"/>
      <c r="C18" s="16"/>
      <c r="D18" s="16"/>
      <c r="E18" s="16"/>
      <c r="F18" s="16"/>
      <c r="G18" s="16"/>
      <c r="H18" s="16"/>
      <c r="I18" s="16"/>
      <c r="J18" s="16"/>
      <c r="K18" s="16"/>
      <c r="L18" s="16"/>
      <c r="M18" s="16"/>
      <c r="N18" s="16"/>
      <c r="O18" s="16"/>
      <c r="P18" s="16"/>
      <c r="Q18" s="16"/>
      <c r="R18" s="16"/>
      <c r="S18" s="16"/>
    </row>
    <row r="19" spans="2:19" x14ac:dyDescent="0.35">
      <c r="B19" s="16"/>
      <c r="C19" s="16"/>
      <c r="D19" s="16"/>
      <c r="E19" s="16"/>
      <c r="F19" s="16"/>
      <c r="G19" s="16"/>
      <c r="H19" s="16"/>
      <c r="I19" s="16"/>
      <c r="J19" s="16"/>
      <c r="K19" s="16"/>
      <c r="L19" s="16"/>
      <c r="M19" s="16"/>
      <c r="N19" s="16"/>
      <c r="O19" s="16"/>
      <c r="P19" s="16"/>
      <c r="Q19" s="16"/>
      <c r="R19" s="16"/>
      <c r="S19" s="16"/>
    </row>
    <row r="20" spans="2:19" x14ac:dyDescent="0.35">
      <c r="B20" s="16"/>
      <c r="C20" s="16"/>
      <c r="D20" s="16"/>
      <c r="E20" s="16"/>
      <c r="F20" s="16"/>
      <c r="G20" s="16"/>
      <c r="H20" s="16"/>
      <c r="I20" s="16"/>
      <c r="J20" s="16"/>
      <c r="K20" s="16"/>
      <c r="L20" s="16"/>
      <c r="M20" s="16"/>
      <c r="N20" s="16"/>
      <c r="O20" s="16"/>
      <c r="P20" s="16"/>
      <c r="Q20" s="16"/>
      <c r="R20" s="16"/>
      <c r="S20" s="16"/>
    </row>
    <row r="21" spans="2:19" x14ac:dyDescent="0.35">
      <c r="B21" s="16"/>
      <c r="C21" s="16"/>
      <c r="D21" s="16"/>
      <c r="E21" s="16"/>
      <c r="F21" s="16"/>
      <c r="G21" s="16"/>
      <c r="H21" s="16"/>
      <c r="I21" s="16"/>
      <c r="J21" s="16"/>
      <c r="K21" s="16"/>
      <c r="L21" s="16"/>
      <c r="M21" s="16"/>
      <c r="N21" s="16"/>
      <c r="O21" s="16"/>
      <c r="P21" s="16"/>
      <c r="Q21" s="16"/>
      <c r="R21" s="16"/>
      <c r="S21" s="16"/>
    </row>
    <row r="22" spans="2:19" x14ac:dyDescent="0.35">
      <c r="B22" s="16"/>
      <c r="C22" s="16"/>
      <c r="D22" s="16"/>
      <c r="E22" s="16"/>
      <c r="F22" s="16"/>
      <c r="G22" s="16"/>
      <c r="H22" s="16"/>
      <c r="I22" s="16"/>
      <c r="J22" s="16"/>
      <c r="K22" s="16"/>
      <c r="L22" s="16"/>
      <c r="M22" s="16"/>
      <c r="N22" s="16"/>
      <c r="O22" s="16"/>
      <c r="P22" s="16"/>
      <c r="Q22" s="16"/>
      <c r="R22" s="16"/>
      <c r="S22" s="16"/>
    </row>
    <row r="23" spans="2:19" x14ac:dyDescent="0.35">
      <c r="B23" s="16"/>
      <c r="C23" s="16"/>
      <c r="D23" s="16"/>
      <c r="E23" s="16"/>
      <c r="F23" s="16"/>
      <c r="G23" s="16"/>
      <c r="H23" s="16"/>
      <c r="I23" s="16"/>
      <c r="J23" s="16"/>
      <c r="K23" s="16"/>
      <c r="L23" s="16"/>
      <c r="M23" s="16"/>
      <c r="N23" s="16"/>
      <c r="O23" s="16"/>
      <c r="P23" s="16"/>
      <c r="Q23" s="16"/>
      <c r="R23" s="16"/>
      <c r="S23" s="16"/>
    </row>
    <row r="24" spans="2:19" x14ac:dyDescent="0.35">
      <c r="B24" s="16"/>
      <c r="C24" s="16"/>
      <c r="D24" s="16"/>
      <c r="E24" s="16"/>
      <c r="F24" s="16"/>
      <c r="G24" s="16"/>
      <c r="H24" s="16"/>
      <c r="I24" s="16"/>
      <c r="J24" s="16"/>
      <c r="K24" s="16"/>
      <c r="L24" s="16"/>
      <c r="M24" s="16"/>
      <c r="N24" s="16"/>
      <c r="O24" s="16"/>
      <c r="P24" s="16"/>
      <c r="Q24" s="16"/>
      <c r="R24" s="16"/>
      <c r="S24" s="16"/>
    </row>
    <row r="25" spans="2:19" x14ac:dyDescent="0.35">
      <c r="B25" s="16"/>
      <c r="C25" s="16"/>
      <c r="D25" s="16"/>
      <c r="E25" s="16"/>
      <c r="F25" s="16"/>
      <c r="G25" s="16"/>
      <c r="H25" s="16"/>
      <c r="I25" s="16"/>
      <c r="J25" s="16"/>
      <c r="K25" s="16"/>
      <c r="L25" s="16"/>
      <c r="M25" s="16"/>
      <c r="N25" s="16"/>
      <c r="O25" s="16"/>
      <c r="P25" s="16"/>
      <c r="Q25" s="16"/>
      <c r="R25" s="16"/>
      <c r="S25" s="16"/>
    </row>
    <row r="26" spans="2:19" x14ac:dyDescent="0.35">
      <c r="B26" s="16"/>
      <c r="C26" s="16"/>
      <c r="D26" s="16"/>
      <c r="E26" s="16"/>
      <c r="F26" s="16"/>
      <c r="G26" s="16"/>
      <c r="H26" s="16"/>
      <c r="I26" s="16"/>
      <c r="J26" s="16"/>
      <c r="K26" s="16"/>
      <c r="L26" s="16"/>
      <c r="M26" s="16"/>
      <c r="N26" s="16"/>
      <c r="O26" s="16"/>
      <c r="P26" s="16"/>
      <c r="Q26" s="16"/>
      <c r="R26" s="16"/>
      <c r="S26" s="16"/>
    </row>
    <row r="27" spans="2:19" x14ac:dyDescent="0.35">
      <c r="B27" s="16"/>
      <c r="C27" s="16"/>
      <c r="D27" s="16"/>
      <c r="E27" s="16"/>
      <c r="F27" s="16"/>
      <c r="G27" s="16"/>
      <c r="H27" s="16"/>
      <c r="I27" s="16"/>
      <c r="J27" s="16"/>
      <c r="K27" s="16"/>
      <c r="L27" s="16"/>
      <c r="M27" s="16"/>
      <c r="N27" s="16"/>
      <c r="O27" s="16"/>
      <c r="P27" s="16"/>
      <c r="Q27" s="16"/>
      <c r="R27" s="16"/>
      <c r="S27" s="16"/>
    </row>
    <row r="28" spans="2:19" x14ac:dyDescent="0.35">
      <c r="B28" s="16"/>
      <c r="C28" s="16"/>
      <c r="D28" s="16"/>
      <c r="E28" s="16"/>
      <c r="F28" s="16"/>
      <c r="G28" s="16"/>
      <c r="H28" s="16"/>
      <c r="I28" s="16"/>
      <c r="J28" s="16"/>
      <c r="K28" s="16"/>
      <c r="L28" s="16"/>
      <c r="M28" s="16"/>
      <c r="N28" s="16"/>
      <c r="O28" s="16"/>
      <c r="P28" s="16"/>
      <c r="Q28" s="16"/>
      <c r="R28" s="16"/>
      <c r="S28" s="16"/>
    </row>
    <row r="29" spans="2:19" x14ac:dyDescent="0.35">
      <c r="B29" s="16"/>
      <c r="C29" s="16"/>
      <c r="D29" s="16"/>
      <c r="E29" s="16"/>
      <c r="F29" s="16"/>
      <c r="G29" s="16"/>
      <c r="H29" s="16"/>
      <c r="I29" s="16"/>
      <c r="J29" s="16"/>
      <c r="K29" s="16"/>
      <c r="L29" s="16"/>
      <c r="M29" s="16"/>
      <c r="N29" s="16"/>
      <c r="O29" s="16"/>
      <c r="P29" s="16"/>
      <c r="Q29" s="16"/>
      <c r="R29" s="16"/>
      <c r="S29" s="16"/>
    </row>
    <row r="30" spans="2:19" x14ac:dyDescent="0.35">
      <c r="B30" s="16"/>
      <c r="C30" s="16"/>
      <c r="D30" s="16"/>
      <c r="E30" s="16"/>
      <c r="F30" s="16"/>
      <c r="G30" s="16"/>
      <c r="H30" s="16"/>
      <c r="I30" s="16"/>
      <c r="J30" s="16"/>
      <c r="K30" s="16"/>
      <c r="L30" s="16"/>
      <c r="M30" s="16"/>
      <c r="N30" s="16"/>
      <c r="O30" s="16"/>
      <c r="P30" s="16"/>
      <c r="Q30" s="16"/>
      <c r="R30" s="16"/>
      <c r="S30" s="16"/>
    </row>
    <row r="31" spans="2:19" x14ac:dyDescent="0.35">
      <c r="B31" s="16"/>
      <c r="C31" s="16"/>
      <c r="D31" s="16"/>
      <c r="E31" s="16"/>
      <c r="F31" s="16"/>
      <c r="G31" s="16"/>
      <c r="H31" s="16"/>
      <c r="I31" s="16"/>
      <c r="J31" s="16"/>
      <c r="K31" s="16"/>
      <c r="L31" s="16"/>
      <c r="M31" s="16"/>
      <c r="N31" s="16"/>
      <c r="O31" s="16"/>
      <c r="P31" s="16"/>
      <c r="Q31" s="16"/>
      <c r="R31" s="16"/>
      <c r="S31" s="16"/>
    </row>
    <row r="32" spans="2:19" x14ac:dyDescent="0.35">
      <c r="B32" s="16"/>
      <c r="C32" s="16"/>
      <c r="D32" s="16"/>
      <c r="E32" s="16"/>
      <c r="F32" s="16"/>
      <c r="G32" s="16"/>
      <c r="H32" s="16"/>
      <c r="I32" s="16"/>
      <c r="J32" s="16"/>
      <c r="K32" s="16"/>
      <c r="L32" s="16"/>
      <c r="M32" s="16"/>
      <c r="N32" s="16"/>
      <c r="O32" s="16"/>
      <c r="P32" s="16"/>
      <c r="Q32" s="16"/>
      <c r="R32" s="16"/>
      <c r="S32" s="16"/>
    </row>
    <row r="33" spans="2:19" x14ac:dyDescent="0.35">
      <c r="B33" s="16"/>
      <c r="C33" s="16"/>
      <c r="D33" s="16"/>
      <c r="E33" s="16"/>
      <c r="F33" s="16"/>
      <c r="G33" s="16"/>
      <c r="H33" s="16"/>
      <c r="I33" s="16"/>
      <c r="J33" s="16"/>
      <c r="K33" s="16"/>
      <c r="L33" s="16"/>
      <c r="M33" s="16"/>
      <c r="N33" s="16"/>
      <c r="O33" s="16"/>
      <c r="P33" s="16"/>
      <c r="Q33" s="16"/>
      <c r="R33" s="16"/>
      <c r="S33" s="16"/>
    </row>
    <row r="34" spans="2:19" x14ac:dyDescent="0.35">
      <c r="B34" s="16"/>
      <c r="C34" s="16"/>
      <c r="D34" s="16"/>
      <c r="E34" s="16"/>
      <c r="F34" s="16"/>
      <c r="G34" s="16"/>
      <c r="H34" s="16"/>
      <c r="I34" s="16"/>
      <c r="J34" s="16"/>
      <c r="K34" s="16"/>
      <c r="L34" s="16"/>
      <c r="M34" s="16"/>
      <c r="N34" s="16"/>
      <c r="O34" s="16"/>
      <c r="P34" s="16"/>
      <c r="Q34" s="16"/>
      <c r="R34" s="16"/>
      <c r="S34" s="16"/>
    </row>
    <row r="35" spans="2:19" x14ac:dyDescent="0.35">
      <c r="B35" s="16"/>
      <c r="C35" s="16"/>
      <c r="D35" s="16"/>
      <c r="E35" s="16"/>
      <c r="F35" s="16"/>
      <c r="G35" s="16"/>
      <c r="H35" s="16"/>
      <c r="I35" s="16"/>
      <c r="J35" s="16"/>
      <c r="K35" s="16"/>
      <c r="L35" s="16"/>
      <c r="M35" s="16"/>
      <c r="N35" s="16"/>
      <c r="O35" s="16"/>
      <c r="P35" s="16"/>
      <c r="Q35" s="16"/>
      <c r="R35" s="16"/>
      <c r="S35" s="16"/>
    </row>
    <row r="36" spans="2:19" x14ac:dyDescent="0.35">
      <c r="B36" s="16"/>
      <c r="C36" s="16"/>
      <c r="D36" s="16"/>
      <c r="E36" s="16"/>
      <c r="F36" s="16"/>
      <c r="G36" s="16"/>
      <c r="H36" s="16"/>
      <c r="I36" s="16"/>
      <c r="J36" s="16"/>
      <c r="K36" s="16"/>
      <c r="L36" s="16"/>
      <c r="M36" s="16"/>
      <c r="N36" s="16"/>
      <c r="O36" s="16"/>
      <c r="P36" s="16"/>
      <c r="Q36" s="16"/>
      <c r="R36" s="16"/>
      <c r="S36" s="16"/>
    </row>
    <row r="37" spans="2:19" x14ac:dyDescent="0.35">
      <c r="B37" s="16"/>
      <c r="C37" s="16"/>
      <c r="D37" s="16"/>
      <c r="E37" s="16"/>
      <c r="F37" s="16"/>
      <c r="G37" s="16"/>
      <c r="H37" s="16"/>
      <c r="I37" s="16"/>
      <c r="J37" s="16"/>
      <c r="K37" s="16"/>
      <c r="L37" s="16"/>
      <c r="M37" s="16"/>
      <c r="N37" s="16"/>
      <c r="O37" s="16"/>
      <c r="P37" s="16"/>
      <c r="Q37" s="16"/>
      <c r="R37" s="16"/>
      <c r="S37" s="16"/>
    </row>
    <row r="38" spans="2:19" x14ac:dyDescent="0.35">
      <c r="B38" s="16"/>
      <c r="C38" s="16"/>
      <c r="D38" s="16"/>
      <c r="E38" s="16"/>
      <c r="F38" s="16"/>
      <c r="G38" s="16"/>
      <c r="H38" s="16"/>
      <c r="I38" s="16"/>
      <c r="J38" s="16"/>
      <c r="K38" s="16"/>
      <c r="L38" s="16"/>
      <c r="M38" s="16"/>
      <c r="N38" s="16"/>
      <c r="O38" s="16"/>
      <c r="P38" s="16"/>
      <c r="Q38" s="16"/>
      <c r="R38" s="16"/>
      <c r="S38" s="16"/>
    </row>
    <row r="39" spans="2:19" x14ac:dyDescent="0.35">
      <c r="B39" s="16"/>
      <c r="C39" s="16"/>
      <c r="D39" s="16"/>
      <c r="E39" s="16"/>
      <c r="F39" s="16"/>
      <c r="G39" s="16"/>
      <c r="H39" s="16"/>
      <c r="I39" s="16"/>
      <c r="J39" s="16"/>
      <c r="K39" s="16"/>
      <c r="L39" s="16"/>
      <c r="M39" s="16"/>
      <c r="N39" s="16"/>
      <c r="O39" s="16"/>
      <c r="P39" s="16"/>
      <c r="Q39" s="16"/>
      <c r="R39" s="16"/>
      <c r="S39" s="16"/>
    </row>
    <row r="40" spans="2:19" x14ac:dyDescent="0.35">
      <c r="B40" s="16"/>
      <c r="C40" s="16"/>
      <c r="D40" s="16"/>
      <c r="E40" s="16"/>
      <c r="F40" s="16"/>
      <c r="G40" s="16"/>
      <c r="H40" s="16"/>
      <c r="I40" s="16"/>
      <c r="J40" s="16"/>
      <c r="K40" s="16"/>
      <c r="L40" s="16"/>
      <c r="M40" s="16"/>
      <c r="N40" s="16"/>
      <c r="O40" s="16"/>
      <c r="P40" s="16"/>
      <c r="Q40" s="16"/>
      <c r="R40" s="16"/>
      <c r="S40" s="16"/>
    </row>
    <row r="41" spans="2:19" x14ac:dyDescent="0.35">
      <c r="B41" s="16"/>
      <c r="C41" s="16"/>
      <c r="D41" s="16"/>
      <c r="E41" s="16"/>
      <c r="F41" s="16"/>
      <c r="G41" s="16"/>
      <c r="H41" s="16"/>
      <c r="I41" s="16"/>
      <c r="J41" s="16"/>
      <c r="K41" s="16"/>
      <c r="L41" s="16"/>
      <c r="M41" s="16"/>
      <c r="N41" s="16"/>
      <c r="O41" s="16"/>
      <c r="P41" s="16"/>
      <c r="Q41" s="16"/>
      <c r="R41" s="16"/>
      <c r="S41" s="16"/>
    </row>
    <row r="42" spans="2:19" x14ac:dyDescent="0.35">
      <c r="B42" s="16"/>
      <c r="C42" s="16"/>
      <c r="D42" s="16"/>
      <c r="E42" s="16"/>
      <c r="F42" s="16"/>
      <c r="G42" s="16"/>
      <c r="H42" s="16"/>
      <c r="I42" s="16"/>
      <c r="J42" s="16"/>
      <c r="K42" s="16"/>
      <c r="L42" s="16"/>
      <c r="M42" s="16"/>
      <c r="N42" s="16"/>
      <c r="O42" s="16"/>
      <c r="P42" s="16"/>
      <c r="Q42" s="16"/>
      <c r="R42" s="16"/>
      <c r="S42" s="16"/>
    </row>
  </sheetData>
  <sheetProtection algorithmName="SHA-512" hashValue="zSY3ptK4Cd6TpdJ5elL7ogNNcVyXdNFy9udxA1YUuRDqcWEXPnuSpoUIvxlJSKb97PiujcHkcNskPF9VU3WNAg==" saltValue="7xp5LhhN2As2qu3K2//vBA==" spinCount="100000" sheet="1" formatCells="0" formatColumns="0" formatRows="0" insertColumns="0" insertRows="0" insertHyperlinks="0" deleteColumns="0" deleteRows="0" sort="0" autoFilter="0" pivotTables="0"/>
  <pageMargins left="0.7" right="0.7" top="0.75" bottom="0.75" header="0.3" footer="0.3"/>
  <drawing r:id="rId1"/>
  <extLst>
    <ext xmlns:x15="http://schemas.microsoft.com/office/spreadsheetml/2010/11/main" uri="{3A4CF648-6AED-40f4-86FF-DC5316D8AED3}">
      <x14:slicerList xmlns:x14="http://schemas.microsoft.com/office/spreadsheetml/2009/9/main">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466BF8-0D5E-4A9D-B44B-195857117D8C}">
  <dimension ref="A1:A38"/>
  <sheetViews>
    <sheetView zoomScale="115" zoomScaleNormal="115" workbookViewId="0">
      <selection activeCell="D10" sqref="D10"/>
    </sheetView>
  </sheetViews>
  <sheetFormatPr defaultRowHeight="14.5" x14ac:dyDescent="0.35"/>
  <sheetData>
    <row r="1" spans="1:1" x14ac:dyDescent="0.35">
      <c r="A1" s="17" t="s">
        <v>70</v>
      </c>
    </row>
    <row r="2" spans="1:1" x14ac:dyDescent="0.35">
      <c r="A2" s="4"/>
    </row>
    <row r="3" spans="1:1" x14ac:dyDescent="0.35">
      <c r="A3" s="5" t="s">
        <v>71</v>
      </c>
    </row>
    <row r="4" spans="1:1" x14ac:dyDescent="0.35">
      <c r="A4" s="4"/>
    </row>
    <row r="5" spans="1:1" x14ac:dyDescent="0.35">
      <c r="A5" s="5" t="s">
        <v>72</v>
      </c>
    </row>
    <row r="6" spans="1:1" x14ac:dyDescent="0.35">
      <c r="A6" s="4"/>
    </row>
    <row r="7" spans="1:1" x14ac:dyDescent="0.35">
      <c r="A7" s="17" t="s">
        <v>73</v>
      </c>
    </row>
    <row r="8" spans="1:1" x14ac:dyDescent="0.35">
      <c r="A8" s="4"/>
    </row>
    <row r="9" spans="1:1" x14ac:dyDescent="0.35">
      <c r="A9" s="17" t="s">
        <v>74</v>
      </c>
    </row>
    <row r="10" spans="1:1" x14ac:dyDescent="0.35">
      <c r="A10" s="18"/>
    </row>
    <row r="11" spans="1:1" x14ac:dyDescent="0.35">
      <c r="A11" s="19" t="s">
        <v>75</v>
      </c>
    </row>
    <row r="12" spans="1:1" x14ac:dyDescent="0.35">
      <c r="A12" s="4"/>
    </row>
    <row r="13" spans="1:1" x14ac:dyDescent="0.35">
      <c r="A13" s="17" t="s">
        <v>76</v>
      </c>
    </row>
    <row r="14" spans="1:1" x14ac:dyDescent="0.35">
      <c r="A14" s="18"/>
    </row>
    <row r="15" spans="1:1" x14ac:dyDescent="0.35">
      <c r="A15" s="19" t="s">
        <v>77</v>
      </c>
    </row>
    <row r="16" spans="1:1" x14ac:dyDescent="0.35">
      <c r="A16" s="4"/>
    </row>
    <row r="17" spans="1:1" x14ac:dyDescent="0.35">
      <c r="A17" s="17" t="s">
        <v>78</v>
      </c>
    </row>
    <row r="18" spans="1:1" x14ac:dyDescent="0.35">
      <c r="A18" s="18"/>
    </row>
    <row r="19" spans="1:1" x14ac:dyDescent="0.35">
      <c r="A19" s="19" t="s">
        <v>79</v>
      </c>
    </row>
    <row r="20" spans="1:1" x14ac:dyDescent="0.35">
      <c r="A20" s="19" t="s">
        <v>80</v>
      </c>
    </row>
    <row r="21" spans="1:1" x14ac:dyDescent="0.35">
      <c r="A21" s="19" t="s">
        <v>81</v>
      </c>
    </row>
    <row r="22" spans="1:1" x14ac:dyDescent="0.35">
      <c r="A22" s="4"/>
    </row>
    <row r="23" spans="1:1" x14ac:dyDescent="0.35">
      <c r="A23" s="17" t="s">
        <v>82</v>
      </c>
    </row>
    <row r="24" spans="1:1" x14ac:dyDescent="0.35">
      <c r="A24" s="18"/>
    </row>
    <row r="25" spans="1:1" x14ac:dyDescent="0.35">
      <c r="A25" s="19" t="s">
        <v>83</v>
      </c>
    </row>
    <row r="26" spans="1:1" x14ac:dyDescent="0.35">
      <c r="A26" s="19" t="s">
        <v>84</v>
      </c>
    </row>
    <row r="27" spans="1:1" x14ac:dyDescent="0.35">
      <c r="A27" s="4"/>
    </row>
    <row r="28" spans="1:1" x14ac:dyDescent="0.35">
      <c r="A28" s="17" t="s">
        <v>85</v>
      </c>
    </row>
    <row r="29" spans="1:1" x14ac:dyDescent="0.35">
      <c r="A29" s="18"/>
    </row>
    <row r="30" spans="1:1" x14ac:dyDescent="0.35">
      <c r="A30" s="20" t="s">
        <v>86</v>
      </c>
    </row>
    <row r="31" spans="1:1" x14ac:dyDescent="0.35">
      <c r="A31" s="20" t="s">
        <v>87</v>
      </c>
    </row>
    <row r="32" spans="1:1" x14ac:dyDescent="0.35">
      <c r="A32" s="20" t="s">
        <v>88</v>
      </c>
    </row>
    <row r="33" spans="1:1" x14ac:dyDescent="0.35">
      <c r="A33" s="4"/>
    </row>
    <row r="34" spans="1:1" x14ac:dyDescent="0.35">
      <c r="A34" s="5" t="s">
        <v>89</v>
      </c>
    </row>
    <row r="35" spans="1:1" x14ac:dyDescent="0.35">
      <c r="A35" s="4"/>
    </row>
    <row r="36" spans="1:1" x14ac:dyDescent="0.35">
      <c r="A36" s="5" t="s">
        <v>90</v>
      </c>
    </row>
    <row r="37" spans="1:1" x14ac:dyDescent="0.35">
      <c r="A37" s="5" t="s">
        <v>91</v>
      </c>
    </row>
    <row r="38" spans="1:1" x14ac:dyDescent="0.35">
      <c r="A38" s="5" t="s">
        <v>92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Sheet5</vt:lpstr>
      <vt:lpstr>Dashboard</vt:lpstr>
      <vt:lpstr>Sheet4</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Dr Vinod W</dc:creator>
  <cp:keywords/>
  <dc:description/>
  <cp:lastModifiedBy>Vinod w</cp:lastModifiedBy>
  <cp:revision/>
  <dcterms:created xsi:type="dcterms:W3CDTF">2025-12-31T08:19:45Z</dcterms:created>
  <dcterms:modified xsi:type="dcterms:W3CDTF">2026-01-02T14:23:23Z</dcterms:modified>
  <cp:category/>
  <cp:contentStatus/>
</cp:coreProperties>
</file>