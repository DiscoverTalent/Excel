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/>
  <workbookPr/>
  <mc:AlternateContent xmlns:mc="http://schemas.openxmlformats.org/markup-compatibility/2006">
    <mc:Choice Requires="x15">
      <x15ac:absPath xmlns:x15ac="http://schemas.microsoft.com/office/spreadsheetml/2010/11/ac" url="C:\Users\DrVin\Downloads\"/>
    </mc:Choice>
  </mc:AlternateContent>
  <xr:revisionPtr revIDLastSave="0" documentId="13_ncr:1_{56757B05-4222-4227-A82D-184581CDC7FF}" xr6:coauthVersionLast="47" xr6:coauthVersionMax="47" xr10:uidLastSave="{00000000-0000-0000-0000-000000000000}"/>
  <bookViews>
    <workbookView xWindow="-110" yWindow="-110" windowWidth="19420" windowHeight="11500" xr2:uid="{D22A1582-6FA1-4450-A17C-64C1594CA852}"/>
  </bookViews>
  <sheets>
    <sheet name="Employee Allowance Tracker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Q26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T29" i="1" l="1"/>
  <c r="T26" i="1"/>
  <c r="T28" i="1"/>
  <c r="T30" i="1"/>
  <c r="T27" i="1"/>
  <c r="Q31" i="1"/>
  <c r="Q30" i="1"/>
  <c r="Q27" i="1"/>
  <c r="Q29" i="1"/>
  <c r="Q28" i="1"/>
</calcChain>
</file>

<file path=xl/sharedStrings.xml><?xml version="1.0" encoding="utf-8"?>
<sst xmlns="http://schemas.openxmlformats.org/spreadsheetml/2006/main" count="119" uniqueCount="80">
  <si>
    <t>ABC Logistics Employee Allowance Tracker</t>
  </si>
  <si>
    <t>Employee ID</t>
  </si>
  <si>
    <t>Employee Name</t>
  </si>
  <si>
    <t>Department</t>
  </si>
  <si>
    <t>Allowance Type</t>
  </si>
  <si>
    <t>Daily Rate</t>
  </si>
  <si>
    <t>MON</t>
  </si>
  <si>
    <t>TUE</t>
  </si>
  <si>
    <t>WED</t>
  </si>
  <si>
    <t>THU</t>
  </si>
  <si>
    <t>FRI</t>
  </si>
  <si>
    <t>SAT</t>
  </si>
  <si>
    <t>SUN</t>
  </si>
  <si>
    <t>EMP001</t>
  </si>
  <si>
    <t>Rahul Sharma</t>
  </si>
  <si>
    <t>Logistics</t>
  </si>
  <si>
    <t>Travel</t>
  </si>
  <si>
    <t>EMP002</t>
  </si>
  <si>
    <t>Priya Mehta</t>
  </si>
  <si>
    <t>Sales</t>
  </si>
  <si>
    <t>Field</t>
  </si>
  <si>
    <t>EMP003</t>
  </si>
  <si>
    <t>John Mathew</t>
  </si>
  <si>
    <t>Operations</t>
  </si>
  <si>
    <t>Shift</t>
  </si>
  <si>
    <t>EMP004</t>
  </si>
  <si>
    <t>Anjali Verma</t>
  </si>
  <si>
    <t>HR</t>
  </si>
  <si>
    <t>Meal</t>
  </si>
  <si>
    <t>EMP005</t>
  </si>
  <si>
    <t>Vikram Singh</t>
  </si>
  <si>
    <t>EMP006</t>
  </si>
  <si>
    <t>Neha Kapoor</t>
  </si>
  <si>
    <t>Finance</t>
  </si>
  <si>
    <t>WFH</t>
  </si>
  <si>
    <t>EMP007</t>
  </si>
  <si>
    <t>Arjun Patel</t>
  </si>
  <si>
    <t>EMP008</t>
  </si>
  <si>
    <t>Sneha Iyer</t>
  </si>
  <si>
    <t>Support</t>
  </si>
  <si>
    <t>EMP009</t>
  </si>
  <si>
    <t>Karan Malhotra</t>
  </si>
  <si>
    <t>EMP010</t>
  </si>
  <si>
    <t>Pooja Nair</t>
  </si>
  <si>
    <t>EMP011</t>
  </si>
  <si>
    <t>Amit Joshi</t>
  </si>
  <si>
    <t>EMP012</t>
  </si>
  <si>
    <t>Ritika Shah</t>
  </si>
  <si>
    <t>EMP013</t>
  </si>
  <si>
    <t>Manoj Kumar</t>
  </si>
  <si>
    <t>IT</t>
  </si>
  <si>
    <t>EMP014</t>
  </si>
  <si>
    <t>Divya Rao</t>
  </si>
  <si>
    <t>EMP015</t>
  </si>
  <si>
    <t>Sachin Yadav</t>
  </si>
  <si>
    <t>EMP016</t>
  </si>
  <si>
    <t>Meera Pillai</t>
  </si>
  <si>
    <t>EMP017</t>
  </si>
  <si>
    <t>Rohan Desai</t>
  </si>
  <si>
    <t>EMP018</t>
  </si>
  <si>
    <t>Kavya Reddy</t>
  </si>
  <si>
    <t>EMP019</t>
  </si>
  <si>
    <t>Imran Khan</t>
  </si>
  <si>
    <t>EMP020</t>
  </si>
  <si>
    <t>Nisha Arora</t>
  </si>
  <si>
    <t>Total (Rupee)</t>
  </si>
  <si>
    <t xml:space="preserve">Summary </t>
  </si>
  <si>
    <t>TOTAL EMPLOYEES</t>
  </si>
  <si>
    <t>EMPLOYEE WITH ALLOWANCE</t>
  </si>
  <si>
    <t>TOTAL ALLOWANCE PAYABLE</t>
  </si>
  <si>
    <t>AVARAGE ALLOWANCE</t>
  </si>
  <si>
    <t>LOWEST ALLOWANCE</t>
  </si>
  <si>
    <t>HIGHEST ALLOWANCE</t>
  </si>
  <si>
    <t>Allowance Type Wise Total</t>
  </si>
  <si>
    <t>Instructions</t>
  </si>
  <si>
    <t>✔ Enter 1 if allowance is applicable</t>
  </si>
  <si>
    <t>✔ Enter 0 if not applicable</t>
  </si>
  <si>
    <t>✔ Daily Rate is allowance amount per day</t>
  </si>
  <si>
    <t>✔ Total is calculated automatically</t>
  </si>
  <si>
    <t>✔ Do not edit Total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</si>
</sst>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 [$₹-4009]\ * #,##0.00_ ;_ [$₹-4009]\ * \-#,##0.00_ ;_ [$₹-4009]\ * &quot;-&quot;??_ ;_ @_ "/>
  </numFmts>
  <fonts count="7" x14ac:knownFonts="1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b/>
      <sz val="11"/>
      <color theme="1"/>
      <name val="Rockwell"/>
      <family val="2"/>
      <scheme val="minor"/>
    </font>
    <font>
      <b/>
      <sz val="22"/>
      <name val="Rockwell"/>
      <family val="2"/>
      <scheme val="minor"/>
    </font>
    <font>
      <b/>
      <sz val="8"/>
      <color theme="1"/>
      <name val="Rockwell"/>
      <family val="2"/>
      <scheme val="minor"/>
    </font>
    <font>
      <b/>
      <sz val="9"/>
      <color theme="1"/>
      <name val="Rockwell"/>
      <family val="2"/>
      <scheme val="minor"/>
    </font>
    <font>
      <sz val="14"/>
      <color theme="1"/>
      <name val="Rockwel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7">
    <xf numFmtId="0" fontId="0" fillId="0" borderId="0" xfId="0"/>
    <xf numFmtId="164" fontId="0" fillId="0" borderId="0" xfId="0" applyNumberFormat="1"/>
    <xf numFmtId="44" fontId="0" fillId="0" borderId="0" xfId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3" borderId="4" xfId="0" applyFont="1" applyFill="1" applyBorder="1"/>
    <xf numFmtId="0" fontId="2" fillId="0" borderId="0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44" fontId="2" fillId="0" borderId="0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4" fillId="3" borderId="6" xfId="0" applyFont="1" applyFill="1" applyBorder="1"/>
    <xf numFmtId="44" fontId="2" fillId="0" borderId="7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44" fontId="0" fillId="0" borderId="0" xfId="1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6" fillId="0" borderId="4" xfId="0" applyFont="1" applyBorder="1"/>
    <xf numFmtId="0" fontId="0" fillId="0" borderId="0" xfId="0" applyBorder="1"/>
  </cellXfs>
  <cellStyles count="2">
    <cellStyle name="Currency" xfId="1" builtinId="4"/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[$₹-4009]\ * #,##0.00_ ;_ [$₹-4009]\ * \-#,##0.00_ ;_ [$₹-4009]\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845BE0-CC73-48C7-9440-22BC894FD1C9}" name="EmployeeAllowanceTbl" displayName="EmployeeAllowanceTbl" ref="P3:AB23" totalsRowShown="0">
  <tableColumns count="13">
    <tableColumn id="1" xr3:uid="{3AE4F480-9A29-4318-9846-25C06F3DA91E}" name="Employee ID"/>
    <tableColumn id="2" xr3:uid="{71C67BEE-E33B-44E2-8F16-7044E25AEAAB}" name="Employee Name"/>
    <tableColumn id="3" xr3:uid="{08E77EBD-3945-42EF-9726-56BAE35A5A8E}" name="Department"/>
    <tableColumn id="4" xr3:uid="{A2E0063A-495C-4BAC-9A06-CC9857B5BABD}" name="Allowance Type"/>
    <tableColumn id="5" xr3:uid="{927BEDAC-7F22-4CA0-A1A9-9D62B1970D15}" name="Daily Rate" dataDxfId="9"/>
    <tableColumn id="6" xr3:uid="{21C98222-516F-450E-A4C6-22A44266CF43}" name="MON" dataDxfId="8"/>
    <tableColumn id="7" xr3:uid="{515F6B57-52C1-4E47-9309-F59BD01C48BA}" name="TUE" dataDxfId="7"/>
    <tableColumn id="8" xr3:uid="{24B52083-2812-49D5-A7BE-5526B22BF2B9}" name="WED" dataDxfId="6"/>
    <tableColumn id="9" xr3:uid="{3F8CF804-7395-47D9-AEAE-6F05E155397C}" name="THU" dataDxfId="5"/>
    <tableColumn id="10" xr3:uid="{E3E967B3-A5A2-4134-888A-856A40B24BB6}" name="FRI" dataDxfId="4"/>
    <tableColumn id="11" xr3:uid="{5A81C93E-68B3-4A00-813F-6341CD9DE998}" name="SAT" dataDxfId="3"/>
    <tableColumn id="12" xr3:uid="{33089AFA-8B29-4C85-9E5A-2D54C4458939}" name="SUN" dataDxfId="2"/>
    <tableColumn id="13" xr3:uid="{37B3487D-6885-4523-B5F3-5C7624B38B64}" name="Total (Rupee)" dataCellStyle="Currency">
      <calculatedColumnFormula>IF(COUNTIF(EmployeeAllowanceTbl[[#This Row],[MON]:[SUN]],"&gt;0")*EmployeeAllowanceTbl[[#This Row],[Daily Rate]]=0,"",COUNTIF(EmployeeAllowanceTbl[[#This Row],[MON]:[SUN]],"&gt;0")*EmployeeAllowanceTbl[[#This Row],[Daily Rate]])</calculatedColumnFormula>
    </tableColumn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Atlas">
  <a:themeElements>
    <a:clrScheme name="Atlas">
      <a:dk1>
        <a:sysClr val="windowText" lastClr="000000"/>
      </a:dk1>
      <a:lt1>
        <a:sysClr val="window" lastClr="FFFFFF"/>
      </a:lt1>
      <a:dk2>
        <a:srgbClr val="454545"/>
      </a:dk2>
      <a:lt2>
        <a:srgbClr val="E0E0E0"/>
      </a:lt2>
      <a:accent1>
        <a:srgbClr val="F81B02"/>
      </a:accent1>
      <a:accent2>
        <a:srgbClr val="FC7715"/>
      </a:accent2>
      <a:accent3>
        <a:srgbClr val="AFBF41"/>
      </a:accent3>
      <a:accent4>
        <a:srgbClr val="50C49F"/>
      </a:accent4>
      <a:accent5>
        <a:srgbClr val="3B95C4"/>
      </a:accent5>
      <a:accent6>
        <a:srgbClr val="B560D4"/>
      </a:accent6>
      <a:hlink>
        <a:srgbClr val="FC5A1A"/>
      </a:hlink>
      <a:folHlink>
        <a:srgbClr val="B49E74"/>
      </a:folHlink>
    </a:clrScheme>
    <a:fontScheme name="Atlas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tlas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alpha val="60000"/>
                <a:satMod val="109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4000"/>
                <a:satMod val="130000"/>
                <a:lumMod val="92000"/>
              </a:schemeClr>
            </a:gs>
            <a:gs pos="100000">
              <a:schemeClr val="phClr">
                <a:shade val="76000"/>
                <a:satMod val="130000"/>
                <a:lumMod val="88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90000"/>
            </a:schemeClr>
          </a:solidFill>
          <a:prstDash val="solid"/>
        </a:ln>
        <a:ln w="15875" cap="flat" cmpd="sng" algn="ctr">
          <a:solidFill>
            <a:schemeClr val="phClr">
              <a:shade val="9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54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>
            <a:bevelT w="0" h="0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10000">
              <a:schemeClr val="phClr">
                <a:tint val="94000"/>
                <a:lumMod val="116000"/>
              </a:schemeClr>
            </a:gs>
            <a:gs pos="100000">
              <a:schemeClr val="phClr">
                <a:tint val="98000"/>
                <a:shade val="86000"/>
                <a:satMod val="90000"/>
                <a:lumMod val="88000"/>
              </a:schemeClr>
            </a:gs>
          </a:gsLst>
          <a:path path="circle">
            <a:fillToRect l="50000" t="15000" r="50000" b="169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tlas" id="{5156B0E4-0EB1-49FE-A26B-15F6F698AEC6}" vid="{508F7963-D0B5-43F7-BB2C-FCE3009C08EC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4ECB2-FE1C-4647-90D9-B72A1DA43E49}">
  <dimension ref="A1:AB31"/>
  <sheetViews>
    <sheetView showGridLines="0" tabSelected="1" topLeftCell="P1" zoomScale="70" zoomScaleNormal="70" workbookViewId="0">
      <selection activeCell="AE11" sqref="AE11"/>
    </sheetView>
  </sheetViews>
  <sheetFormatPr defaultRowHeight="14" x14ac:dyDescent="0.3"/>
  <cols>
    <col min="1" max="15" width="3.6640625" hidden="1" customWidth="1"/>
    <col min="16" max="16" width="18.4140625" customWidth="1"/>
    <col min="17" max="17" width="16.25" customWidth="1"/>
    <col min="18" max="18" width="12.75" customWidth="1"/>
    <col min="19" max="19" width="15.6640625" customWidth="1"/>
    <col min="20" max="20" width="11.25" customWidth="1"/>
    <col min="21" max="21" width="6.75" customWidth="1"/>
    <col min="22" max="22" width="5.9140625" customWidth="1"/>
    <col min="23" max="23" width="6.6640625" customWidth="1"/>
    <col min="24" max="24" width="6.25" customWidth="1"/>
    <col min="25" max="25" width="5.5" customWidth="1"/>
    <col min="26" max="26" width="5.83203125" customWidth="1"/>
    <col min="27" max="27" width="6.4140625" customWidth="1"/>
    <col min="28" max="28" width="13.83203125" customWidth="1"/>
  </cols>
  <sheetData>
    <row r="1" spans="16:28" ht="28.5" x14ac:dyDescent="0.65">
      <c r="P1" s="3" t="s">
        <v>0</v>
      </c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6:28" ht="5.5" customHeight="1" x14ac:dyDescent="0.3"/>
    <row r="3" spans="16:28" x14ac:dyDescent="0.3">
      <c r="P3" t="s">
        <v>1</v>
      </c>
      <c r="Q3" t="s">
        <v>2</v>
      </c>
      <c r="R3" t="s">
        <v>3</v>
      </c>
      <c r="S3" t="s">
        <v>4</v>
      </c>
      <c r="T3" t="s">
        <v>5</v>
      </c>
      <c r="U3" t="s">
        <v>6</v>
      </c>
      <c r="V3" t="s">
        <v>7</v>
      </c>
      <c r="W3" t="s">
        <v>8</v>
      </c>
      <c r="X3" t="s">
        <v>9</v>
      </c>
      <c r="Y3" t="s">
        <v>10</v>
      </c>
      <c r="Z3" t="s">
        <v>11</v>
      </c>
      <c r="AA3" t="s">
        <v>12</v>
      </c>
      <c r="AB3" t="s">
        <v>65</v>
      </c>
    </row>
    <row r="4" spans="16:28" x14ac:dyDescent="0.3">
      <c r="P4" t="s">
        <v>13</v>
      </c>
      <c r="Q4" t="s">
        <v>14</v>
      </c>
      <c r="R4" t="s">
        <v>15</v>
      </c>
      <c r="S4" t="s">
        <v>16</v>
      </c>
      <c r="T4" s="1">
        <v>300</v>
      </c>
      <c r="U4" s="4">
        <v>1</v>
      </c>
      <c r="V4" s="4">
        <v>1</v>
      </c>
      <c r="W4" s="4">
        <v>0</v>
      </c>
      <c r="X4" s="4">
        <v>0</v>
      </c>
      <c r="Y4" s="4">
        <v>0</v>
      </c>
      <c r="Z4" s="4">
        <v>1</v>
      </c>
      <c r="AA4" s="4">
        <v>0</v>
      </c>
      <c r="AB4" s="2">
        <f>IF(COUNTIF(EmployeeAllowanceTbl[[#This Row],[MON]:[SUN]],"&gt;0")*EmployeeAllowanceTbl[[#This Row],[Daily Rate]]=0,"",COUNTIF(EmployeeAllowanceTbl[[#This Row],[MON]:[SUN]],"&gt;0")*EmployeeAllowanceTbl[[#This Row],[Daily Rate]])</f>
        <v>900</v>
      </c>
    </row>
    <row r="5" spans="16:28" x14ac:dyDescent="0.3">
      <c r="P5" t="s">
        <v>17</v>
      </c>
      <c r="Q5" t="s">
        <v>18</v>
      </c>
      <c r="R5" t="s">
        <v>19</v>
      </c>
      <c r="S5" t="s">
        <v>20</v>
      </c>
      <c r="T5" s="1">
        <v>500</v>
      </c>
      <c r="U5" s="4">
        <v>1</v>
      </c>
      <c r="V5" s="4">
        <v>1</v>
      </c>
      <c r="W5" s="4">
        <v>0</v>
      </c>
      <c r="X5" s="4">
        <v>0</v>
      </c>
      <c r="Y5" s="4">
        <v>1</v>
      </c>
      <c r="Z5" s="4">
        <v>1</v>
      </c>
      <c r="AA5" s="4">
        <v>0</v>
      </c>
      <c r="AB5" s="2">
        <f>IF(COUNTIF(EmployeeAllowanceTbl[[#This Row],[MON]:[SUN]],"&gt;0")*EmployeeAllowanceTbl[[#This Row],[Daily Rate]]=0,"",COUNTIF(EmployeeAllowanceTbl[[#This Row],[MON]:[SUN]],"&gt;0")*EmployeeAllowanceTbl[[#This Row],[Daily Rate]])</f>
        <v>2000</v>
      </c>
    </row>
    <row r="6" spans="16:28" x14ac:dyDescent="0.3">
      <c r="P6" t="s">
        <v>21</v>
      </c>
      <c r="Q6" t="s">
        <v>22</v>
      </c>
      <c r="R6" t="s">
        <v>23</v>
      </c>
      <c r="S6" t="s">
        <v>24</v>
      </c>
      <c r="T6" s="1">
        <v>400</v>
      </c>
      <c r="U6" s="4">
        <v>1</v>
      </c>
      <c r="V6" s="4">
        <v>0</v>
      </c>
      <c r="W6" s="4">
        <v>1</v>
      </c>
      <c r="X6" s="4">
        <v>0</v>
      </c>
      <c r="Y6" s="4">
        <v>0</v>
      </c>
      <c r="Z6" s="4">
        <v>1</v>
      </c>
      <c r="AA6" s="4">
        <v>1</v>
      </c>
      <c r="AB6" s="2">
        <f>IF(COUNTIF(EmployeeAllowanceTbl[[#This Row],[MON]:[SUN]],"&gt;0")*EmployeeAllowanceTbl[[#This Row],[Daily Rate]]=0,"",COUNTIF(EmployeeAllowanceTbl[[#This Row],[MON]:[SUN]],"&gt;0")*EmployeeAllowanceTbl[[#This Row],[Daily Rate]])</f>
        <v>1600</v>
      </c>
    </row>
    <row r="7" spans="16:28" x14ac:dyDescent="0.3">
      <c r="P7" t="s">
        <v>25</v>
      </c>
      <c r="Q7" t="s">
        <v>26</v>
      </c>
      <c r="R7" t="s">
        <v>27</v>
      </c>
      <c r="S7" t="s">
        <v>28</v>
      </c>
      <c r="T7" s="1">
        <v>250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2">
        <f>IF(COUNTIF(EmployeeAllowanceTbl[[#This Row],[MON]:[SUN]],"&gt;0")*EmployeeAllowanceTbl[[#This Row],[Daily Rate]]=0,"",COUNTIF(EmployeeAllowanceTbl[[#This Row],[MON]:[SUN]],"&gt;0")*EmployeeAllowanceTbl[[#This Row],[Daily Rate]])</f>
        <v>1750</v>
      </c>
    </row>
    <row r="8" spans="16:28" x14ac:dyDescent="0.3">
      <c r="P8" t="s">
        <v>29</v>
      </c>
      <c r="Q8" t="s">
        <v>30</v>
      </c>
      <c r="R8" t="s">
        <v>15</v>
      </c>
      <c r="S8" t="s">
        <v>16</v>
      </c>
      <c r="T8" s="1">
        <v>300</v>
      </c>
      <c r="U8" s="4">
        <v>0</v>
      </c>
      <c r="V8" s="4">
        <v>1</v>
      </c>
      <c r="W8" s="4">
        <v>1</v>
      </c>
      <c r="X8" s="4">
        <v>0</v>
      </c>
      <c r="Y8" s="4">
        <v>1</v>
      </c>
      <c r="Z8" s="4">
        <v>1</v>
      </c>
      <c r="AA8" s="4">
        <v>0</v>
      </c>
      <c r="AB8" s="2">
        <f>IF(COUNTIF(EmployeeAllowanceTbl[[#This Row],[MON]:[SUN]],"&gt;0")*EmployeeAllowanceTbl[[#This Row],[Daily Rate]]=0,"",COUNTIF(EmployeeAllowanceTbl[[#This Row],[MON]:[SUN]],"&gt;0")*EmployeeAllowanceTbl[[#This Row],[Daily Rate]])</f>
        <v>1200</v>
      </c>
    </row>
    <row r="9" spans="16:28" x14ac:dyDescent="0.3">
      <c r="P9" t="s">
        <v>31</v>
      </c>
      <c r="Q9" t="s">
        <v>32</v>
      </c>
      <c r="R9" t="s">
        <v>33</v>
      </c>
      <c r="S9" t="s">
        <v>34</v>
      </c>
      <c r="T9" s="1">
        <v>350</v>
      </c>
      <c r="U9" s="4">
        <v>1</v>
      </c>
      <c r="V9" s="4">
        <v>1</v>
      </c>
      <c r="W9" s="4">
        <v>1</v>
      </c>
      <c r="X9" s="4">
        <v>1</v>
      </c>
      <c r="Y9" s="4">
        <v>0</v>
      </c>
      <c r="Z9" s="4">
        <v>1</v>
      </c>
      <c r="AA9" s="4">
        <v>1</v>
      </c>
      <c r="AB9" s="2">
        <f>IF(COUNTIF(EmployeeAllowanceTbl[[#This Row],[MON]:[SUN]],"&gt;0")*EmployeeAllowanceTbl[[#This Row],[Daily Rate]]=0,"",COUNTIF(EmployeeAllowanceTbl[[#This Row],[MON]:[SUN]],"&gt;0")*EmployeeAllowanceTbl[[#This Row],[Daily Rate]])</f>
        <v>2100</v>
      </c>
    </row>
    <row r="10" spans="16:28" x14ac:dyDescent="0.3">
      <c r="P10" t="s">
        <v>35</v>
      </c>
      <c r="Q10" t="s">
        <v>36</v>
      </c>
      <c r="R10" t="s">
        <v>19</v>
      </c>
      <c r="S10" t="s">
        <v>20</v>
      </c>
      <c r="T10" s="1">
        <v>500</v>
      </c>
      <c r="U10" s="4">
        <v>1</v>
      </c>
      <c r="V10" s="4">
        <v>0</v>
      </c>
      <c r="W10" s="4">
        <v>1</v>
      </c>
      <c r="X10" s="4">
        <v>0</v>
      </c>
      <c r="Y10" s="4">
        <v>1</v>
      </c>
      <c r="Z10" s="4">
        <v>0</v>
      </c>
      <c r="AA10" s="4">
        <v>1</v>
      </c>
      <c r="AB10" s="2">
        <f>IF(COUNTIF(EmployeeAllowanceTbl[[#This Row],[MON]:[SUN]],"&gt;0")*EmployeeAllowanceTbl[[#This Row],[Daily Rate]]=0,"",COUNTIF(EmployeeAllowanceTbl[[#This Row],[MON]:[SUN]],"&gt;0")*EmployeeAllowanceTbl[[#This Row],[Daily Rate]])</f>
        <v>2000</v>
      </c>
    </row>
    <row r="11" spans="16:28" x14ac:dyDescent="0.3">
      <c r="P11" t="s">
        <v>37</v>
      </c>
      <c r="Q11" t="s">
        <v>38</v>
      </c>
      <c r="R11" t="s">
        <v>39</v>
      </c>
      <c r="S11" t="s">
        <v>24</v>
      </c>
      <c r="T11" s="1">
        <v>400</v>
      </c>
      <c r="U11" s="4">
        <v>1</v>
      </c>
      <c r="V11" s="4">
        <v>1</v>
      </c>
      <c r="W11" s="4">
        <v>1</v>
      </c>
      <c r="X11" s="4">
        <v>0</v>
      </c>
      <c r="Y11" s="4">
        <v>0</v>
      </c>
      <c r="Z11" s="4">
        <v>0</v>
      </c>
      <c r="AA11" s="4">
        <v>1</v>
      </c>
      <c r="AB11" s="2">
        <f>IF(COUNTIF(EmployeeAllowanceTbl[[#This Row],[MON]:[SUN]],"&gt;0")*EmployeeAllowanceTbl[[#This Row],[Daily Rate]]=0,"",COUNTIF(EmployeeAllowanceTbl[[#This Row],[MON]:[SUN]],"&gt;0")*EmployeeAllowanceTbl[[#This Row],[Daily Rate]])</f>
        <v>1600</v>
      </c>
    </row>
    <row r="12" spans="16:28" x14ac:dyDescent="0.3">
      <c r="P12" t="s">
        <v>40</v>
      </c>
      <c r="Q12" t="s">
        <v>41</v>
      </c>
      <c r="R12" t="s">
        <v>23</v>
      </c>
      <c r="S12" t="s">
        <v>16</v>
      </c>
      <c r="T12" s="1">
        <v>300</v>
      </c>
      <c r="U12" s="4">
        <v>0</v>
      </c>
      <c r="V12" s="4">
        <v>0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2">
        <f>IF(COUNTIF(EmployeeAllowanceTbl[[#This Row],[MON]:[SUN]],"&gt;0")*EmployeeAllowanceTbl[[#This Row],[Daily Rate]]=0,"",COUNTIF(EmployeeAllowanceTbl[[#This Row],[MON]:[SUN]],"&gt;0")*EmployeeAllowanceTbl[[#This Row],[Daily Rate]])</f>
        <v>1500</v>
      </c>
    </row>
    <row r="13" spans="16:28" x14ac:dyDescent="0.3">
      <c r="P13" t="s">
        <v>42</v>
      </c>
      <c r="Q13" t="s">
        <v>43</v>
      </c>
      <c r="R13" t="s">
        <v>27</v>
      </c>
      <c r="S13" t="s">
        <v>28</v>
      </c>
      <c r="T13" s="1">
        <v>250</v>
      </c>
      <c r="U13" s="4">
        <v>1</v>
      </c>
      <c r="V13" s="4">
        <v>1</v>
      </c>
      <c r="W13" s="4">
        <v>0</v>
      </c>
      <c r="X13" s="4">
        <v>0</v>
      </c>
      <c r="Y13" s="4">
        <v>1</v>
      </c>
      <c r="Z13" s="4">
        <v>1</v>
      </c>
      <c r="AA13" s="4">
        <v>0</v>
      </c>
      <c r="AB13" s="2">
        <f>IF(COUNTIF(EmployeeAllowanceTbl[[#This Row],[MON]:[SUN]],"&gt;0")*EmployeeAllowanceTbl[[#This Row],[Daily Rate]]=0,"",COUNTIF(EmployeeAllowanceTbl[[#This Row],[MON]:[SUN]],"&gt;0")*EmployeeAllowanceTbl[[#This Row],[Daily Rate]])</f>
        <v>1000</v>
      </c>
    </row>
    <row r="14" spans="16:28" x14ac:dyDescent="0.3">
      <c r="P14" t="s">
        <v>44</v>
      </c>
      <c r="Q14" t="s">
        <v>45</v>
      </c>
      <c r="R14" t="s">
        <v>15</v>
      </c>
      <c r="S14" t="s">
        <v>16</v>
      </c>
      <c r="T14" s="1">
        <v>300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0</v>
      </c>
      <c r="AB14" s="2">
        <f>IF(COUNTIF(EmployeeAllowanceTbl[[#This Row],[MON]:[SUN]],"&gt;0")*EmployeeAllowanceTbl[[#This Row],[Daily Rate]]=0,"",COUNTIF(EmployeeAllowanceTbl[[#This Row],[MON]:[SUN]],"&gt;0")*EmployeeAllowanceTbl[[#This Row],[Daily Rate]])</f>
        <v>1800</v>
      </c>
    </row>
    <row r="15" spans="16:28" x14ac:dyDescent="0.3">
      <c r="P15" t="s">
        <v>46</v>
      </c>
      <c r="Q15" t="s">
        <v>47</v>
      </c>
      <c r="R15" t="s">
        <v>19</v>
      </c>
      <c r="S15" t="s">
        <v>20</v>
      </c>
      <c r="T15" s="1">
        <v>500</v>
      </c>
      <c r="U15" s="4">
        <v>1</v>
      </c>
      <c r="V15" s="4">
        <v>0</v>
      </c>
      <c r="W15" s="4">
        <v>0</v>
      </c>
      <c r="X15" s="4">
        <v>1</v>
      </c>
      <c r="Y15" s="4">
        <v>1</v>
      </c>
      <c r="Z15" s="4">
        <v>0</v>
      </c>
      <c r="AA15" s="4">
        <v>1</v>
      </c>
      <c r="AB15" s="2">
        <f>IF(COUNTIF(EmployeeAllowanceTbl[[#This Row],[MON]:[SUN]],"&gt;0")*EmployeeAllowanceTbl[[#This Row],[Daily Rate]]=0,"",COUNTIF(EmployeeAllowanceTbl[[#This Row],[MON]:[SUN]],"&gt;0")*EmployeeAllowanceTbl[[#This Row],[Daily Rate]])</f>
        <v>2000</v>
      </c>
    </row>
    <row r="16" spans="16:28" x14ac:dyDescent="0.3">
      <c r="P16" t="s">
        <v>48</v>
      </c>
      <c r="Q16" t="s">
        <v>49</v>
      </c>
      <c r="R16" t="s">
        <v>50</v>
      </c>
      <c r="S16" t="s">
        <v>34</v>
      </c>
      <c r="T16" s="1">
        <v>350</v>
      </c>
      <c r="U16" s="4">
        <v>1</v>
      </c>
      <c r="V16" s="4">
        <v>1</v>
      </c>
      <c r="W16" s="4">
        <v>1</v>
      </c>
      <c r="X16" s="4">
        <v>0</v>
      </c>
      <c r="Y16" s="4">
        <v>1</v>
      </c>
      <c r="Z16" s="4">
        <v>0</v>
      </c>
      <c r="AA16" s="4">
        <v>0</v>
      </c>
      <c r="AB16" s="2">
        <f>IF(COUNTIF(EmployeeAllowanceTbl[[#This Row],[MON]:[SUN]],"&gt;0")*EmployeeAllowanceTbl[[#This Row],[Daily Rate]]=0,"",COUNTIF(EmployeeAllowanceTbl[[#This Row],[MON]:[SUN]],"&gt;0")*EmployeeAllowanceTbl[[#This Row],[Daily Rate]])</f>
        <v>1400</v>
      </c>
    </row>
    <row r="17" spans="16:28" x14ac:dyDescent="0.3">
      <c r="P17" t="s">
        <v>51</v>
      </c>
      <c r="Q17" t="s">
        <v>52</v>
      </c>
      <c r="R17" t="s">
        <v>39</v>
      </c>
      <c r="S17" t="s">
        <v>24</v>
      </c>
      <c r="T17" s="1">
        <v>400</v>
      </c>
      <c r="U17" s="4">
        <v>0</v>
      </c>
      <c r="V17" s="4">
        <v>1</v>
      </c>
      <c r="W17" s="4">
        <v>0</v>
      </c>
      <c r="X17" s="4">
        <v>1</v>
      </c>
      <c r="Y17" s="4">
        <v>1</v>
      </c>
      <c r="Z17" s="4">
        <v>1</v>
      </c>
      <c r="AA17" s="4">
        <v>1</v>
      </c>
      <c r="AB17" s="2">
        <f>IF(COUNTIF(EmployeeAllowanceTbl[[#This Row],[MON]:[SUN]],"&gt;0")*EmployeeAllowanceTbl[[#This Row],[Daily Rate]]=0,"",COUNTIF(EmployeeAllowanceTbl[[#This Row],[MON]:[SUN]],"&gt;0")*EmployeeAllowanceTbl[[#This Row],[Daily Rate]])</f>
        <v>2000</v>
      </c>
    </row>
    <row r="18" spans="16:28" x14ac:dyDescent="0.3">
      <c r="P18" t="s">
        <v>53</v>
      </c>
      <c r="Q18" t="s">
        <v>54</v>
      </c>
      <c r="R18" t="s">
        <v>23</v>
      </c>
      <c r="S18" t="s">
        <v>16</v>
      </c>
      <c r="T18" s="1">
        <v>300</v>
      </c>
      <c r="U18" s="4">
        <v>1</v>
      </c>
      <c r="V18" s="4">
        <v>1</v>
      </c>
      <c r="W18" s="4">
        <v>1</v>
      </c>
      <c r="X18" s="4">
        <v>1</v>
      </c>
      <c r="Y18" s="4">
        <v>0</v>
      </c>
      <c r="Z18" s="4">
        <v>1</v>
      </c>
      <c r="AA18" s="4">
        <v>0</v>
      </c>
      <c r="AB18" s="2">
        <f>IF(COUNTIF(EmployeeAllowanceTbl[[#This Row],[MON]:[SUN]],"&gt;0")*EmployeeAllowanceTbl[[#This Row],[Daily Rate]]=0,"",COUNTIF(EmployeeAllowanceTbl[[#This Row],[MON]:[SUN]],"&gt;0")*EmployeeAllowanceTbl[[#This Row],[Daily Rate]])</f>
        <v>1500</v>
      </c>
    </row>
    <row r="19" spans="16:28" x14ac:dyDescent="0.3">
      <c r="P19" t="s">
        <v>55</v>
      </c>
      <c r="Q19" t="s">
        <v>56</v>
      </c>
      <c r="R19" t="s">
        <v>33</v>
      </c>
      <c r="S19" t="s">
        <v>28</v>
      </c>
      <c r="T19" s="1">
        <v>250</v>
      </c>
      <c r="U19" s="4">
        <v>1</v>
      </c>
      <c r="V19" s="4">
        <v>0</v>
      </c>
      <c r="W19" s="4">
        <v>1</v>
      </c>
      <c r="X19" s="4">
        <v>0</v>
      </c>
      <c r="Y19" s="4">
        <v>1</v>
      </c>
      <c r="Z19" s="4">
        <v>1</v>
      </c>
      <c r="AA19" s="4">
        <v>1</v>
      </c>
      <c r="AB19" s="2">
        <f>IF(COUNTIF(EmployeeAllowanceTbl[[#This Row],[MON]:[SUN]],"&gt;0")*EmployeeAllowanceTbl[[#This Row],[Daily Rate]]=0,"",COUNTIF(EmployeeAllowanceTbl[[#This Row],[MON]:[SUN]],"&gt;0")*EmployeeAllowanceTbl[[#This Row],[Daily Rate]])</f>
        <v>1250</v>
      </c>
    </row>
    <row r="20" spans="16:28" x14ac:dyDescent="0.3">
      <c r="P20" t="s">
        <v>57</v>
      </c>
      <c r="Q20" t="s">
        <v>58</v>
      </c>
      <c r="R20" t="s">
        <v>15</v>
      </c>
      <c r="S20" t="s">
        <v>16</v>
      </c>
      <c r="T20" s="1">
        <v>300</v>
      </c>
      <c r="U20" s="4">
        <v>0</v>
      </c>
      <c r="V20" s="4">
        <v>1</v>
      </c>
      <c r="W20" s="4">
        <v>1</v>
      </c>
      <c r="X20" s="4">
        <v>1</v>
      </c>
      <c r="Y20" s="4">
        <v>1</v>
      </c>
      <c r="Z20" s="4">
        <v>0</v>
      </c>
      <c r="AA20" s="4">
        <v>1</v>
      </c>
      <c r="AB20" s="2">
        <f>IF(COUNTIF(EmployeeAllowanceTbl[[#This Row],[MON]:[SUN]],"&gt;0")*EmployeeAllowanceTbl[[#This Row],[Daily Rate]]=0,"",COUNTIF(EmployeeAllowanceTbl[[#This Row],[MON]:[SUN]],"&gt;0")*EmployeeAllowanceTbl[[#This Row],[Daily Rate]])</f>
        <v>1500</v>
      </c>
    </row>
    <row r="21" spans="16:28" x14ac:dyDescent="0.3">
      <c r="P21" t="s">
        <v>59</v>
      </c>
      <c r="Q21" t="s">
        <v>60</v>
      </c>
      <c r="R21" t="s">
        <v>19</v>
      </c>
      <c r="S21" t="s">
        <v>20</v>
      </c>
      <c r="T21" s="1">
        <v>500</v>
      </c>
      <c r="U21" s="4">
        <v>1</v>
      </c>
      <c r="V21" s="4">
        <v>1</v>
      </c>
      <c r="W21" s="4">
        <v>0</v>
      </c>
      <c r="X21" s="4">
        <v>1</v>
      </c>
      <c r="Y21" s="4">
        <v>0</v>
      </c>
      <c r="Z21" s="4">
        <v>1</v>
      </c>
      <c r="AA21" s="4">
        <v>1</v>
      </c>
      <c r="AB21" s="2">
        <f>IF(COUNTIF(EmployeeAllowanceTbl[[#This Row],[MON]:[SUN]],"&gt;0")*EmployeeAllowanceTbl[[#This Row],[Daily Rate]]=0,"",COUNTIF(EmployeeAllowanceTbl[[#This Row],[MON]:[SUN]],"&gt;0")*EmployeeAllowanceTbl[[#This Row],[Daily Rate]])</f>
        <v>2500</v>
      </c>
    </row>
    <row r="22" spans="16:28" x14ac:dyDescent="0.3">
      <c r="P22" t="s">
        <v>61</v>
      </c>
      <c r="Q22" t="s">
        <v>62</v>
      </c>
      <c r="R22" t="s">
        <v>23</v>
      </c>
      <c r="S22" t="s">
        <v>24</v>
      </c>
      <c r="T22" s="1">
        <v>400</v>
      </c>
      <c r="U22" s="4">
        <v>1</v>
      </c>
      <c r="V22" s="4">
        <v>1</v>
      </c>
      <c r="W22" s="4">
        <v>1</v>
      </c>
      <c r="X22" s="4">
        <v>0</v>
      </c>
      <c r="Y22" s="4">
        <v>1</v>
      </c>
      <c r="Z22" s="4">
        <v>0</v>
      </c>
      <c r="AA22" s="4">
        <v>1</v>
      </c>
      <c r="AB22" s="2">
        <f>IF(COUNTIF(EmployeeAllowanceTbl[[#This Row],[MON]:[SUN]],"&gt;0")*EmployeeAllowanceTbl[[#This Row],[Daily Rate]]=0,"",COUNTIF(EmployeeAllowanceTbl[[#This Row],[MON]:[SUN]],"&gt;0")*EmployeeAllowanceTbl[[#This Row],[Daily Rate]])</f>
        <v>2000</v>
      </c>
    </row>
    <row r="23" spans="16:28" x14ac:dyDescent="0.3">
      <c r="P23" t="s">
        <v>63</v>
      </c>
      <c r="Q23" t="s">
        <v>64</v>
      </c>
      <c r="R23" t="s">
        <v>27</v>
      </c>
      <c r="S23" t="s">
        <v>28</v>
      </c>
      <c r="T23" s="1">
        <v>250</v>
      </c>
      <c r="U23" s="4">
        <v>1</v>
      </c>
      <c r="V23" s="4">
        <v>0</v>
      </c>
      <c r="W23" s="4">
        <v>1</v>
      </c>
      <c r="X23" s="4">
        <v>1</v>
      </c>
      <c r="Y23" s="4">
        <v>1</v>
      </c>
      <c r="Z23" s="4">
        <v>1</v>
      </c>
      <c r="AA23" s="4">
        <v>0</v>
      </c>
      <c r="AB23" s="2">
        <f>IF(COUNTIF(EmployeeAllowanceTbl[[#This Row],[MON]:[SUN]],"&gt;0")*EmployeeAllowanceTbl[[#This Row],[Daily Rate]]=0,"",COUNTIF(EmployeeAllowanceTbl[[#This Row],[MON]:[SUN]],"&gt;0")*EmployeeAllowanceTbl[[#This Row],[Daily Rate]])</f>
        <v>1250</v>
      </c>
    </row>
    <row r="25" spans="16:28" ht="14.5" x14ac:dyDescent="0.35">
      <c r="P25" s="5" t="s">
        <v>66</v>
      </c>
      <c r="Q25" s="6"/>
      <c r="R25" s="7"/>
      <c r="S25" s="16" t="s">
        <v>73</v>
      </c>
      <c r="T25" s="17"/>
      <c r="U25" s="18"/>
      <c r="W25" s="16" t="s">
        <v>74</v>
      </c>
      <c r="X25" s="17"/>
      <c r="Y25" s="17"/>
      <c r="Z25" s="17"/>
      <c r="AA25" s="17"/>
      <c r="AB25" s="18"/>
    </row>
    <row r="26" spans="16:28" ht="17.5" x14ac:dyDescent="0.35">
      <c r="P26" s="8" t="s">
        <v>67</v>
      </c>
      <c r="Q26" s="9">
        <f>COUNTA(EmployeeAllowanceTbl[Employee ID])</f>
        <v>20</v>
      </c>
      <c r="R26" s="10"/>
      <c r="S26" s="19" t="s">
        <v>16</v>
      </c>
      <c r="T26" s="20">
        <f>SUMIF(EmployeeAllowanceTbl[Allowance Type],$S$26,EmployeeAllowanceTbl[Total (Rupee)])</f>
        <v>8400</v>
      </c>
      <c r="U26" s="21"/>
      <c r="W26" s="25" t="s">
        <v>75</v>
      </c>
      <c r="X26" s="26"/>
      <c r="Y26" s="26"/>
      <c r="Z26" s="26"/>
      <c r="AA26" s="26"/>
      <c r="AB26" s="21"/>
    </row>
    <row r="27" spans="16:28" ht="17.5" x14ac:dyDescent="0.35">
      <c r="P27" s="8" t="s">
        <v>68</v>
      </c>
      <c r="Q27" s="9">
        <f>COUNTIF(EmployeeAllowanceTbl[Total (Rupee)],"&gt;0")</f>
        <v>20</v>
      </c>
      <c r="R27" s="10"/>
      <c r="S27" s="19" t="s">
        <v>20</v>
      </c>
      <c r="T27" s="20">
        <f>SUMIF(EmployeeAllowanceTbl[Allowance Type],$S$27,EmployeeAllowanceTbl[Total (Rupee)])</f>
        <v>8500</v>
      </c>
      <c r="U27" s="21"/>
      <c r="W27" s="25" t="s">
        <v>76</v>
      </c>
      <c r="X27" s="26"/>
      <c r="Y27" s="26"/>
      <c r="Z27" s="26"/>
      <c r="AA27" s="26"/>
      <c r="AB27" s="21"/>
    </row>
    <row r="28" spans="16:28" ht="17.5" x14ac:dyDescent="0.35">
      <c r="P28" s="8" t="s">
        <v>69</v>
      </c>
      <c r="Q28" s="11">
        <f>SUM(EmployeeAllowanceTbl[Total (Rupee)])</f>
        <v>32850</v>
      </c>
      <c r="R28" s="12"/>
      <c r="S28" s="19" t="s">
        <v>24</v>
      </c>
      <c r="T28" s="20">
        <f>SUMIF(EmployeeAllowanceTbl[Allowance Type],$S$28,EmployeeAllowanceTbl[Total (Rupee)])</f>
        <v>7200</v>
      </c>
      <c r="U28" s="21"/>
      <c r="W28" s="25" t="s">
        <v>77</v>
      </c>
      <c r="X28" s="26"/>
      <c r="Y28" s="26"/>
      <c r="Z28" s="26"/>
      <c r="AA28" s="26"/>
      <c r="AB28" s="21"/>
    </row>
    <row r="29" spans="16:28" ht="17.5" x14ac:dyDescent="0.35">
      <c r="P29" s="8" t="s">
        <v>70</v>
      </c>
      <c r="Q29" s="11">
        <f>AVERAGE(EmployeeAllowanceTbl[Total (Rupee)])</f>
        <v>1642.5</v>
      </c>
      <c r="R29" s="12"/>
      <c r="S29" s="19" t="s">
        <v>28</v>
      </c>
      <c r="T29" s="20">
        <f>SUMIF(EmployeeAllowanceTbl[Allowance Type],$S$29,EmployeeAllowanceTbl[Total (Rupee)])</f>
        <v>5250</v>
      </c>
      <c r="U29" s="21"/>
      <c r="W29" s="25" t="s">
        <v>78</v>
      </c>
      <c r="X29" s="26"/>
      <c r="Y29" s="26"/>
      <c r="Z29" s="26"/>
      <c r="AA29" s="26"/>
      <c r="AB29" s="21"/>
    </row>
    <row r="30" spans="16:28" ht="17.5" x14ac:dyDescent="0.35">
      <c r="P30" s="8" t="s">
        <v>72</v>
      </c>
      <c r="Q30" s="11">
        <f>MAX(EmployeeAllowanceTbl[Total (Rupee)])</f>
        <v>2500</v>
      </c>
      <c r="R30" s="12"/>
      <c r="S30" s="19" t="s">
        <v>34</v>
      </c>
      <c r="T30" s="20">
        <f>SUMIF(EmployeeAllowanceTbl[Allowance Type],$S$30,EmployeeAllowanceTbl[Total (Rupee)])</f>
        <v>3500</v>
      </c>
      <c r="U30" s="21"/>
      <c r="W30" s="25" t="s">
        <v>79</v>
      </c>
      <c r="X30" s="26"/>
      <c r="Y30" s="26"/>
      <c r="Z30" s="26"/>
      <c r="AA30" s="26"/>
      <c r="AB30" s="21"/>
    </row>
    <row r="31" spans="16:28" ht="14.5" x14ac:dyDescent="0.3">
      <c r="P31" s="13" t="s">
        <v>71</v>
      </c>
      <c r="Q31" s="14">
        <f>MIN(EmployeeAllowanceTbl[Total (Rupee)])</f>
        <v>900</v>
      </c>
      <c r="R31" s="15"/>
      <c r="S31" s="22"/>
      <c r="T31" s="23"/>
      <c r="U31" s="24"/>
      <c r="W31" s="22"/>
      <c r="X31" s="23"/>
      <c r="Y31" s="23"/>
      <c r="Z31" s="23"/>
      <c r="AA31" s="23"/>
      <c r="AB31" s="24"/>
    </row>
  </sheetData>
  <sheetProtection algorithmName="SHA-512" hashValue="BmUWrePbnEERbgG9y1Adm8Rn9GwDJAss7k53sJ4X5ANHebOUXvxGJj0JAsfMA/5L3MqTFy8OqC3ecYQiAkGlwA==" saltValue="XqvnXctY5g6KVSae1roAeA==" spinCount="100000" sheet="1" formatCells="0" formatColumns="0" formatRows="0" insertColumns="0" insertRows="0" insertHyperlinks="0" deleteColumns="0" deleteRows="0" sort="0" autoFilter="0" pivotTables="0"/>
  <mergeCells count="10">
    <mergeCell ref="Q30:R30"/>
    <mergeCell ref="Q31:R31"/>
    <mergeCell ref="S25:U25"/>
    <mergeCell ref="W25:AB25"/>
    <mergeCell ref="P1:AB1"/>
    <mergeCell ref="P25:R25"/>
    <mergeCell ref="Q26:R26"/>
    <mergeCell ref="Q27:R27"/>
    <mergeCell ref="Q28:R28"/>
    <mergeCell ref="Q29:R29"/>
  </mergeCells>
  <conditionalFormatting sqref="U4:AA23">
    <cfRule type="cellIs" dxfId="1" priority="1" operator="equal">
      <formula>0</formula>
    </cfRule>
    <cfRule type="cellIs" dxfId="0" priority="2" operator="equal">
      <formula>1</formula>
    </cfRule>
  </conditionalFormatting>
  <dataValidations count="1">
    <dataValidation type="list" errorStyle="warning" allowBlank="1" showInputMessage="1" showErrorMessage="1" errorTitle="Invlid Attendance Entry" error="only use 0 or 1  other text will not accepted " promptTitle="Attendance Entry" prompt="Enter 1 for eligible allownace or 0 for non eligible days " sqref="U4:AA23" xr:uid="{C3B9A87F-2DC7-49C1-9100-37DFFE0912AB}">
      <formula1>"0,1"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89577-4B82-4DFD-9737-3E05EAF7C3BA}">
  <dimension ref="F1:F6"/>
  <sheetViews>
    <sheetView topLeftCell="A43" workbookViewId="0">
      <selection activeCell="H50" sqref="H50:H54"/>
    </sheetView>
  </sheetViews>
  <sheetFormatPr defaultRowHeight="14" x14ac:dyDescent="0.3"/>
  <sheetData>
    <row r="1" spans="6:6" x14ac:dyDescent="0.3">
      <c r="F1" t="s">
        <v>4</v>
      </c>
    </row>
    <row r="2" spans="6:6" x14ac:dyDescent="0.3">
      <c r="F2" t="s">
        <v>16</v>
      </c>
    </row>
    <row r="3" spans="6:6" x14ac:dyDescent="0.3">
      <c r="F3" t="s">
        <v>20</v>
      </c>
    </row>
    <row r="4" spans="6:6" x14ac:dyDescent="0.3">
      <c r="F4" t="s">
        <v>24</v>
      </c>
    </row>
    <row r="5" spans="6:6" x14ac:dyDescent="0.3">
      <c r="F5" t="s">
        <v>28</v>
      </c>
    </row>
    <row r="6" spans="6:6" x14ac:dyDescent="0.3">
      <c r="F6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 Allowance Tracker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w</dc:creator>
  <cp:keywords>Discover Talent</cp:keywords>
  <cp:lastModifiedBy>Vinod w</cp:lastModifiedBy>
  <dcterms:created xsi:type="dcterms:W3CDTF">2026-05-09T15:27:50Z</dcterms:created>
  <dcterms:modified xsi:type="dcterms:W3CDTF">2026-05-11T16:54:07Z</dcterms:modified>
</cp:coreProperties>
</file>