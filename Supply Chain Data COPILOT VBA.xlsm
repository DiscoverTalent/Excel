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1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rVin\Downloads\"/>
    </mc:Choice>
  </mc:AlternateContent>
  <xr:revisionPtr revIDLastSave="0" documentId="8_{F7F21419-437B-4F23-B97B-DC4F3A7A6E33}" xr6:coauthVersionLast="47" xr6:coauthVersionMax="47" xr10:uidLastSave="{00000000-0000-0000-0000-000000000000}"/>
  <bookViews>
    <workbookView xWindow="-110" yWindow="-110" windowWidth="19420" windowHeight="11500" activeTab="2" xr2:uid="{C8D4A1BB-77F5-4D92-92E4-7CBBE29484E8}"/>
  </bookViews>
  <sheets>
    <sheet name="Sheet1" sheetId="2" r:id="rId1"/>
    <sheet name="Sheet3" sheetId="3" r:id="rId2"/>
    <sheet name="Inefficiency Analysis" sheetId="4" r:id="rId3"/>
    <sheet name="Sheet4" sheetId="5" r:id="rId4"/>
    <sheet name="Sheet5" sheetId="6" r:id="rId5"/>
  </sheets>
  <definedNames>
    <definedName name="_xleta.IF" hidden="1" xlm="1">#NAME?</definedName>
    <definedName name="_xleta.REDUC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15" i="5" l="1" a="1"/>
  <c r="A16" i="5" a="1"/>
  <c r="A17" i="5" a="1"/>
  <c r="A30" i="5" a="1"/>
  <c r="A45" i="5" a="1"/>
  <c r="A55" i="5" a="1"/>
  <c r="A57" i="5" a="1"/>
  <c r="B44" i="4"/>
  <c r="B45" i="4"/>
  <c r="B47" i="4"/>
  <c r="B48" i="4"/>
  <c r="F36" i="4"/>
  <c r="F37" i="4"/>
  <c r="F38" i="4"/>
  <c r="F39" i="4"/>
  <c r="F40" i="4"/>
  <c r="B36" i="4"/>
  <c r="C36" i="4"/>
  <c r="B37" i="4"/>
  <c r="C37" i="4"/>
  <c r="B38" i="4"/>
  <c r="C38" i="4"/>
  <c r="B39" i="4"/>
  <c r="C39" i="4"/>
  <c r="B40" i="4"/>
  <c r="C40" i="4"/>
  <c r="B28" i="4"/>
  <c r="C28" i="4"/>
  <c r="D28" i="4"/>
  <c r="E28" i="4"/>
  <c r="F28" i="4"/>
  <c r="B29" i="4"/>
  <c r="C29" i="4"/>
  <c r="D29" i="4"/>
  <c r="E29" i="4"/>
  <c r="F29" i="4"/>
  <c r="B30" i="4"/>
  <c r="C30" i="4"/>
  <c r="D30" i="4"/>
  <c r="E30" i="4"/>
  <c r="F30" i="4"/>
  <c r="B31" i="4"/>
  <c r="C31" i="4"/>
  <c r="D31" i="4"/>
  <c r="E31" i="4"/>
  <c r="F31" i="4"/>
  <c r="B32" i="4"/>
  <c r="C32" i="4"/>
  <c r="D32" i="4"/>
  <c r="E32" i="4"/>
  <c r="F32" i="4"/>
  <c r="B22" i="4"/>
  <c r="C22" i="4"/>
  <c r="E22" i="4"/>
  <c r="F22" i="4"/>
  <c r="B23" i="4"/>
  <c r="C23" i="4"/>
  <c r="E23" i="4"/>
  <c r="F23" i="4"/>
  <c r="B24" i="4"/>
  <c r="C24" i="4"/>
  <c r="E24" i="4"/>
  <c r="F24" i="4"/>
  <c r="B15" i="4"/>
  <c r="C15" i="4"/>
  <c r="E15" i="4"/>
  <c r="F15" i="4"/>
  <c r="B16" i="4"/>
  <c r="C16" i="4"/>
  <c r="E16" i="4"/>
  <c r="F16" i="4"/>
  <c r="B17" i="4"/>
  <c r="C17" i="4"/>
  <c r="E17" i="4"/>
  <c r="F17" i="4"/>
  <c r="B18" i="4"/>
  <c r="C18" i="4"/>
  <c r="E18" i="4"/>
  <c r="F18" i="4"/>
  <c r="B5" i="4"/>
  <c r="B6" i="4"/>
  <c r="B7" i="4"/>
  <c r="B8" i="4"/>
  <c r="B9" i="4"/>
  <c r="B10" i="4"/>
  <c r="B11" i="4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2" i="2"/>
  <c r="A17" i="5" l="1"/>
  <c r="A30" i="5"/>
  <c r="A45" i="5"/>
  <c r="A15" i="5"/>
  <c r="A16" i="5"/>
  <c r="A55" i="5"/>
  <c r="A57" i="5"/>
  <c r="B46" i="4"/>
  <c r="D23" i="4"/>
  <c r="D22" i="4"/>
  <c r="D24" i="4"/>
  <c r="D16" i="4"/>
  <c r="D15" i="4"/>
  <c r="D18" i="4"/>
  <c r="D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<sst xmlns="http://schemas.openxmlformats.org/spreadsheetml/2006/main" count="380" uniqueCount="165">
  <si>
    <t>ShipmentID</t>
  </si>
  <si>
    <t>Date</t>
  </si>
  <si>
    <t>Region</t>
  </si>
  <si>
    <t>Product</t>
  </si>
  <si>
    <t>Quantity</t>
  </si>
  <si>
    <t>UnitCost</t>
  </si>
  <si>
    <t>TransportCost</t>
  </si>
  <si>
    <t>DeliveryDays</t>
  </si>
  <si>
    <t>S001</t>
  </si>
  <si>
    <t>North</t>
  </si>
  <si>
    <t>ItemA</t>
  </si>
  <si>
    <t>S002</t>
  </si>
  <si>
    <t>South</t>
  </si>
  <si>
    <t>ItemB</t>
  </si>
  <si>
    <t>S003</t>
  </si>
  <si>
    <t>East</t>
  </si>
  <si>
    <t>ItemC</t>
  </si>
  <si>
    <t>S004</t>
  </si>
  <si>
    <t>West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</si>
  <si>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</si>
  <si>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</si>
  <si>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</si>
  <si>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</si>
  <si>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</si>
  <si>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</si>
  <si>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</si>
  <si>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</si>
  <si>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</si>
  <si>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</si>
  <si>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S015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</si>
  <si>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</si>
  <si>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</si>
  <si>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</si>
  <si>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</si>
  <si>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</si>
  <si>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</si>
  <si>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</si>
  <si>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</si>
  <si>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</si>
  <si>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</si>
  <si>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</si>
  <si>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</si>
  <si>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</si>
  <si>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</si>
  <si>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</si>
  <si>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Total Shipment Cost</t>
  </si>
  <si>
    <t>Total Product Cost</t>
  </si>
  <si>
    <t>Cost Per Unit</t>
  </si>
  <si>
    <t>Delivery Performance</t>
  </si>
  <si>
    <t>Efficiency Score</t>
  </si>
  <si>
    <t>Total Cost</t>
  </si>
  <si>
    <t>On-Time Shipments</t>
  </si>
  <si>
    <t>Delayed Shipments</t>
  </si>
  <si>
    <t>On Time</t>
  </si>
  <si>
    <t>Delayed</t>
  </si>
  <si>
    <t>🔍 SHIPMENT INEFFICIENCY ANALYSIS</t>
  </si>
  <si>
    <t>📊 OVERALL METRICS</t>
  </si>
  <si>
    <t>Metric</t>
  </si>
  <si>
    <t>Value</t>
  </si>
  <si>
    <t>Notes</t>
  </si>
  <si>
    <t>Total Shipments</t>
  </si>
  <si>
    <t>Total Cost (₹)</t>
  </si>
  <si>
    <t>Average Efficiency Score</t>
  </si>
  <si>
    <t>On-Time Delivery Rate (%)</t>
  </si>
  <si>
    <t>Average Delivery Days</t>
  </si>
  <si>
    <t>Average Cost Per Unit (₹)</t>
  </si>
  <si>
    <t>📍 INEFFICIENCY BY REGION</t>
  </si>
  <si>
    <t>Shipments</t>
  </si>
  <si>
    <t>Delayed Count</t>
  </si>
  <si>
    <t>Delay Rate %</t>
  </si>
  <si>
    <t>Avg Efficiency</t>
  </si>
  <si>
    <t>Avg Delivery Days</t>
  </si>
  <si>
    <t>📦 INEFFICIENCY BY PRODUCT</t>
  </si>
  <si>
    <t>Avg Cost/Unit (₹)</t>
  </si>
  <si>
    <t>⚠️ LOWEST EFFICIENCY SHIPMENTS (Bottom 5)</t>
  </si>
  <si>
    <t>Rank</t>
  </si>
  <si>
    <t>Shipment ID</t>
  </si>
  <si>
    <t>Issue</t>
  </si>
  <si>
    <t>💡 KEY INEFFICIENCY FINDINGS</t>
  </si>
  <si>
    <t>Finding</t>
  </si>
  <si>
    <t>Impact</t>
  </si>
  <si>
    <t>Highest Delay Rate Region</t>
  </si>
  <si>
    <t>Lowest Efficiency Region</t>
  </si>
  <si>
    <t>Highest Cost Product</t>
  </si>
  <si>
    <t>Worst Product Delay Rate</t>
  </si>
  <si>
    <t>Long Delivery Avg Days</t>
  </si>
  <si>
    <t>Delivery Days Distribution</t>
  </si>
  <si>
    <t>2 Days (Fast)</t>
  </si>
  <si>
    <t>3 Days</t>
  </si>
  <si>
    <t>4 Days</t>
  </si>
  <si>
    <t>5 Days</t>
  </si>
  <si>
    <t>6 Days (Slow)</t>
  </si>
  <si>
    <t>📈 EFFICIENCY PATTERNS</t>
  </si>
  <si>
    <t>Analysis</t>
  </si>
  <si>
    <t>Interpretation</t>
  </si>
  <si>
    <t>Avg Efficiency (On Time)</t>
  </si>
  <si>
    <t>On-time shipments efficiency</t>
  </si>
  <si>
    <t>Avg Efficiency (Delayed)</t>
  </si>
  <si>
    <t>Delayed shipments efficiency</t>
  </si>
  <si>
    <t>Efficiency Gap</t>
  </si>
  <si>
    <t>On-time vs Delayed difference</t>
  </si>
  <si>
    <t>Transport Cost (Delayed Avg)</t>
  </si>
  <si>
    <t>Avg transport cost for delays</t>
  </si>
  <si>
    <t>Transport Cost (On Time Avg)</t>
  </si>
  <si>
    <t>Avg transport cost on-time</t>
  </si>
  <si>
    <t>Based on your shipment data and the detailed inefficiency analysis, I can provide you with **data-driven recommendations to reduce logistics costs**. Let me analyze the key patterns:</t>
  </si>
  <si>
    <t>---</t>
  </si>
  <si>
    <t>## 🚚 Ways to Reduce Logistics Costs</t>
  </si>
  <si>
    <t>### 1. **Address the West Region Problem** ⚠️</t>
  </si>
  <si>
    <t>| Metric | West Region | Other Regions Avg |</t>
  </si>
  <si>
    <t>|--------|-------------|-------------------|</t>
  </si>
  <si>
    <t>| Delay Rate | **57.1%** | ~30% |</t>
  </si>
  <si>
    <t>| Avg Efficiency | **47.4** | ~55 |</t>
  </si>
  <si>
    <t>| Avg Delivery Days | **4.4** | ~3.7 |</t>
  </si>
  <si>
    <t>**Recommendations:**</t>
  </si>
  <si>
    <t>### 2. **Optimize ItemB Logistics** 📦</t>
  </si>
  <si>
    <t>| Metric | ItemB | ItemA | ItemC |</t>
  </si>
  <si>
    <t>|--------|-------|-------|-------|</t>
  </si>
  <si>
    <t>| Delay Rate | **50%** | 40% | 20% |</t>
  </si>
  <si>
    <t>| Avg Cost/Unit | **₹22.93** | ₹17.50 | ₹12.66 |</t>
  </si>
  <si>
    <t>| Efficiency | **39.1** | 53.0 | 68.7 |</t>
  </si>
  <si>
    <t>- ItemB has the highest cost per unit (₹22.93) and worst delay rate (50%)</t>
  </si>
  <si>
    <t>- Consider bulk shipments to reduce per-unit transport costs</t>
  </si>
  <si>
    <t>- Evaluate if ItemB can be consolidated with other shipments</t>
  </si>
  <si>
    <t>### 3. **Improve Delivery Time Consistency** ⏱️</t>
  </si>
  <si>
    <t>| Delivery Days | Shipment Count | Performance |</t>
  </si>
  <si>
    <t>|---------------|----------------|-------------|</t>
  </si>
  <si>
    <t>| 2 Days | 6 | ✅ Best efficiency |</t>
  </si>
  <si>
    <t>| 5-6 Days | 11 | ❌ High delays |</t>
  </si>
  <si>
    <t>- 11 shipments (37%) take 5-6 days – target reducing these</t>
  </si>
  <si>
    <t>- Set maximum 4-day delivery SLA with carriers</t>
  </si>
  <si>
    <t>### 4. **Consolidate Shipments** 📊</t>
  </si>
  <si>
    <t>Your data shows variable quantities (60-200 units per shipment):</t>
  </si>
  <si>
    <t>- **Higher quantity shipments** tend to have better cost-per-unit efficiency</t>
  </si>
  <si>
    <t>- Transport cost doesn't scale linearly with quantity</t>
  </si>
  <si>
    <t>- Target minimum 120+ units per shipment for better economies of scale</t>
  </si>
  <si>
    <t>### 5. **Focus on High-Impact Quick Wins** 💡</t>
  </si>
  <si>
    <t>| Action | Potential Savings | Priority |</t>
  </si>
  <si>
    <t>|--------|-------------------|----------|</t>
  </si>
  <si>
    <t>| Fix West region delays | ~₹3,000-5,000/month | 🔴 High |</t>
  </si>
  <si>
    <t>| Renegotiate ItemB transport | ~15% cost reduction | 🔴 High |</t>
  </si>
  <si>
    <t>| Consolidate small shipments | ~10% transport savings | 🟡 Medium |</t>
  </si>
  <si>
    <t>| Implement delivery SLAs | Reduce delay penalties | 🟡 Medium |</t>
  </si>
  <si>
    <t>### 6. **Key Numbers to Target** 🎯</t>
  </si>
  <si>
    <t>| Current State | Target |</t>
  </si>
  <si>
    <t>|---------------|--------|</t>
  </si>
  <si>
    <t>| 63.3% On-Time Rate | **85%+** |</t>
  </si>
  <si>
    <t>| ₹348 Avg Transport Cost | **₹300 or less** |</t>
  </si>
  <si>
    <t>| 4 Avg Delivery Days | **3 Days** |</t>
  </si>
  <si>
    <t>| 47.4 West Efficiency | **55+** |</t>
  </si>
  <si>
    <t>### Summary of Top 3 Actions:</t>
  </si>
  <si>
    <t>1. **Audit West region logistics** – highest delay rate (57%) is driving inefficiency</t>
  </si>
  <si>
    <t>2. **Renegotiate or rebid ItemB transport contracts** – highest cost per unit at ₹22.93</t>
  </si>
  <si>
    <t>3. **Consolidate shipments under 100 units** – improve transport cost efficiency</t>
  </si>
  <si>
    <t>Would you like me to create a detailed action tracker or cost savings projection model in your workbook?</t>
  </si>
  <si>
    <t>West Region</t>
  </si>
  <si>
    <t>Other Regions Avg</t>
  </si>
  <si>
    <t>Delay Rate</t>
  </si>
  <si>
    <t>~30%</t>
  </si>
  <si>
    <t>~55</t>
  </si>
  <si>
    <t>~3.7</t>
  </si>
  <si>
    <t>Recommendations:</t>
  </si>
  <si>
    <t>Investigate carrier performance in West region</t>
  </si>
  <si>
    <t>Consider switching logistics partners for West shipments</t>
  </si>
  <si>
    <t>Evaluate warehouse positioning closer to West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</si>
</sst>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₹&quot;\ * #,##0.00_ ;_ &quot;₹&quot;\ * \-#,##0.00_ ;_ &quot;₹&quot;\ * &quot;-&quot;??_ ;_ @_ "/>
    <numFmt numFmtId="168" formatCode="0.0"/>
    <numFmt numFmtId="179" formatCode="\₹0.00"/>
    <numFmt numFmtId="180" formatCode="\₹#,##0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rgb="FF1F4E79"/>
      <name val="Aptos Narrow"/>
      <family val="2"/>
      <scheme val="minor"/>
    </font>
    <font>
      <b/>
      <sz val="12"/>
      <color rgb="FFFFFFFF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6DCE5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2D5F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" fontId="0" fillId="0" borderId="0" xfId="0" applyNumberFormat="1"/>
    <xf numFmtId="168" fontId="0" fillId="0" borderId="0" xfId="0" applyNumberFormat="1"/>
    <xf numFmtId="168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44" fontId="0" fillId="0" borderId="0" xfId="1" applyFon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0" fontId="0" fillId="0" borderId="0" xfId="0" applyFill="1"/>
    <xf numFmtId="0" fontId="0" fillId="3" borderId="0" xfId="0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44" fontId="0" fillId="3" borderId="0" xfId="1" applyFont="1" applyFill="1" applyAlignment="1">
      <alignment horizontal="center" vertical="center"/>
    </xf>
    <xf numFmtId="168" fontId="0" fillId="3" borderId="0" xfId="0" applyNumberFormat="1" applyFill="1" applyAlignment="1">
      <alignment horizontal="center" vertical="center"/>
    </xf>
    <xf numFmtId="0" fontId="0" fillId="3" borderId="0" xfId="0" applyFill="1"/>
    <xf numFmtId="0" fontId="2" fillId="4" borderId="0" xfId="0" applyFont="1" applyFill="1" applyAlignment="1">
      <alignment horizontal="center" vertical="center"/>
    </xf>
    <xf numFmtId="0" fontId="4" fillId="0" borderId="0" xfId="0" applyFont="1"/>
    <xf numFmtId="0" fontId="5" fillId="5" borderId="0" xfId="0" applyFont="1" applyFill="1"/>
    <xf numFmtId="0" fontId="3" fillId="6" borderId="0" xfId="0" applyFont="1" applyFill="1"/>
    <xf numFmtId="0" fontId="5" fillId="7" borderId="0" xfId="0" applyFont="1" applyFill="1"/>
    <xf numFmtId="0" fontId="3" fillId="8" borderId="0" xfId="0" applyFont="1" applyFill="1"/>
    <xf numFmtId="0" fontId="5" fillId="9" borderId="0" xfId="0" applyFont="1" applyFill="1"/>
    <xf numFmtId="0" fontId="3" fillId="10" borderId="0" xfId="0" applyFont="1" applyFill="1"/>
    <xf numFmtId="0" fontId="5" fillId="11" borderId="0" xfId="0" applyFont="1" applyFill="1"/>
    <xf numFmtId="0" fontId="3" fillId="12" borderId="0" xfId="0" applyFont="1" applyFill="1"/>
    <xf numFmtId="0" fontId="5" fillId="13" borderId="0" xfId="0" applyFont="1" applyFill="1"/>
    <xf numFmtId="0" fontId="3" fillId="14" borderId="0" xfId="0" applyFont="1" applyFill="1"/>
    <xf numFmtId="0" fontId="3" fillId="14" borderId="0" xfId="0" applyFont="1" applyFill="1"/>
    <xf numFmtId="0" fontId="5" fillId="15" borderId="0" xfId="0" applyFont="1" applyFill="1"/>
    <xf numFmtId="0" fontId="3" fillId="16" borderId="0" xfId="0" applyFont="1" applyFill="1"/>
    <xf numFmtId="4" fontId="0" fillId="0" borderId="0" xfId="0" applyNumberFormat="1"/>
    <xf numFmtId="179" fontId="0" fillId="0" borderId="0" xfId="0" applyNumberFormat="1"/>
    <xf numFmtId="3" fontId="0" fillId="0" borderId="0" xfId="0" applyNumberFormat="1"/>
    <xf numFmtId="180" fontId="0" fillId="0" borderId="0" xfId="0" applyNumberFormat="1"/>
    <xf numFmtId="10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6</xdr:row>
      <xdr:rowOff>158750</xdr:rowOff>
    </xdr:from>
    <xdr:to>
      <xdr:col>14</xdr:col>
      <xdr:colOff>298450</xdr:colOff>
      <xdr:row>8</xdr:row>
      <xdr:rowOff>57150</xdr:rowOff>
    </xdr:to>
    <xdr:sp macro="[0]!Sheet1.AutoAnalyzeLogistics" textlink="">
      <xdr:nvSpPr>
        <xdr:cNvPr id="2" name="Rectangle 1">
          <a:extLst>
            <a:ext uri="{FF2B5EF4-FFF2-40B4-BE49-F238E27FC236}">
              <a16:creationId xmlns:a16="http://schemas.microsoft.com/office/drawing/2014/main" id="{243891EB-5D16-24E3-18D2-DB30130D2D40}"/>
            </a:ext>
          </a:extLst>
        </xdr:cNvPr>
        <xdr:cNvSpPr/>
      </xdr:nvSpPr>
      <xdr:spPr>
        <a:xfrm>
          <a:off x="10502900" y="1263650"/>
          <a:ext cx="850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Quick View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07032-17C1-4C9B-91AE-C8C2DF84CF13}">
  <sheetPr codeName="Sheet1"/>
  <dimension ref="A1:P31"/>
  <sheetViews>
    <sheetView topLeftCell="H1" workbookViewId="0">
      <selection activeCell="S20" sqref="S20"/>
    </sheetView>
  </sheetViews>
  <sheetFormatPr defaultRowHeight="14.5" x14ac:dyDescent="0.35"/>
  <cols>
    <col min="1" max="1" width="10.1796875" style="1" bestFit="1" customWidth="1"/>
    <col min="2" max="2" width="10.08984375" style="1" bestFit="1" customWidth="1"/>
    <col min="3" max="3" width="6.26953125" style="1" bestFit="1" customWidth="1"/>
    <col min="4" max="4" width="7.1796875" style="1" bestFit="1" customWidth="1"/>
    <col min="5" max="5" width="7.7265625" style="1" bestFit="1" customWidth="1"/>
    <col min="6" max="6" width="8" style="1" bestFit="1" customWidth="1"/>
    <col min="7" max="7" width="12.36328125" style="1" bestFit="1" customWidth="1"/>
    <col min="8" max="8" width="11.26953125" style="1" bestFit="1" customWidth="1"/>
    <col min="9" max="9" width="15.81640625" style="1" bestFit="1" customWidth="1"/>
    <col min="10" max="10" width="17.1796875" style="1" bestFit="1" customWidth="1"/>
    <col min="11" max="11" width="11.453125" style="1" bestFit="1" customWidth="1"/>
    <col min="12" max="12" width="18.26953125" style="1" bestFit="1" customWidth="1"/>
    <col min="13" max="13" width="13.7265625" style="1" bestFit="1" customWidth="1"/>
    <col min="15" max="15" width="16.7265625" bestFit="1" customWidth="1"/>
  </cols>
  <sheetData>
    <row r="1" spans="1:16" x14ac:dyDescent="0.3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46</v>
      </c>
      <c r="J1" s="6" t="s">
        <v>45</v>
      </c>
      <c r="K1" s="6" t="s">
        <v>47</v>
      </c>
      <c r="L1" s="6" t="s">
        <v>48</v>
      </c>
      <c r="M1" s="6" t="s">
        <v>49</v>
      </c>
    </row>
    <row r="2" spans="1:16" s="12" customFormat="1" x14ac:dyDescent="0.35">
      <c r="A2" s="8" t="s">
        <v>8</v>
      </c>
      <c r="B2" s="9">
        <v>46023</v>
      </c>
      <c r="C2" s="8" t="s">
        <v>9</v>
      </c>
      <c r="D2" s="8" t="s">
        <v>10</v>
      </c>
      <c r="E2" s="8">
        <v>120</v>
      </c>
      <c r="F2" s="10">
        <v>15</v>
      </c>
      <c r="G2" s="10">
        <v>300</v>
      </c>
      <c r="H2" s="8">
        <v>3</v>
      </c>
      <c r="I2" s="10">
        <f>E2*F2</f>
        <v>1800</v>
      </c>
      <c r="J2" s="10">
        <f>I2+G2</f>
        <v>2100</v>
      </c>
      <c r="K2" s="10">
        <f>J2/E2</f>
        <v>17.5</v>
      </c>
      <c r="L2" s="8" t="str">
        <f>IF(H2&lt;=4,"On Time","Delayed")</f>
        <v>On Time</v>
      </c>
      <c r="M2" s="11">
        <f>IF(L2="On Time",100,70)-(K2*2)</f>
        <v>65</v>
      </c>
      <c r="O2" s="12" t="s">
        <v>50</v>
      </c>
      <c r="P2" s="12">
        <v>66110</v>
      </c>
    </row>
    <row r="3" spans="1:16" s="17" customFormat="1" x14ac:dyDescent="0.35">
      <c r="A3" s="13" t="s">
        <v>11</v>
      </c>
      <c r="B3" s="14">
        <v>46024</v>
      </c>
      <c r="C3" s="13" t="s">
        <v>12</v>
      </c>
      <c r="D3" s="13" t="s">
        <v>13</v>
      </c>
      <c r="E3" s="13">
        <v>80</v>
      </c>
      <c r="F3" s="15">
        <v>20</v>
      </c>
      <c r="G3" s="15">
        <v>250</v>
      </c>
      <c r="H3" s="13">
        <v>5</v>
      </c>
      <c r="I3" s="15">
        <f t="shared" ref="I3:I31" si="0">E3*F3</f>
        <v>1600</v>
      </c>
      <c r="J3" s="15">
        <f t="shared" ref="J3:J31" si="1">I3+G3</f>
        <v>1850</v>
      </c>
      <c r="K3" s="15">
        <f t="shared" ref="K3:K31" si="2">J3/E3</f>
        <v>23.125</v>
      </c>
      <c r="L3" s="13" t="str">
        <f t="shared" ref="L3:L31" si="3">IF(H3&lt;=4,"On Time","Delayed")</f>
        <v>Delayed</v>
      </c>
      <c r="M3" s="16">
        <f t="shared" ref="M3:M31" si="4">IF(L3="On Time",100,70)-(K3*2)</f>
        <v>23.75</v>
      </c>
      <c r="O3" s="17" t="s">
        <v>51</v>
      </c>
      <c r="P3" s="17">
        <v>19</v>
      </c>
    </row>
    <row r="4" spans="1:16" s="12" customFormat="1" x14ac:dyDescent="0.35">
      <c r="A4" s="8" t="s">
        <v>14</v>
      </c>
      <c r="B4" s="9">
        <v>46025</v>
      </c>
      <c r="C4" s="8" t="s">
        <v>15</v>
      </c>
      <c r="D4" s="8" t="s">
        <v>16</v>
      </c>
      <c r="E4" s="8">
        <v>150</v>
      </c>
      <c r="F4" s="10">
        <v>10</v>
      </c>
      <c r="G4" s="10">
        <v>400</v>
      </c>
      <c r="H4" s="8">
        <v>2</v>
      </c>
      <c r="I4" s="10">
        <f t="shared" si="0"/>
        <v>1500</v>
      </c>
      <c r="J4" s="10">
        <f t="shared" si="1"/>
        <v>1900</v>
      </c>
      <c r="K4" s="10">
        <f t="shared" si="2"/>
        <v>12.666666666666666</v>
      </c>
      <c r="L4" s="8" t="str">
        <f t="shared" si="3"/>
        <v>On Time</v>
      </c>
      <c r="M4" s="11">
        <f t="shared" si="4"/>
        <v>74.666666666666671</v>
      </c>
      <c r="O4" s="12" t="s">
        <v>52</v>
      </c>
      <c r="P4" s="12">
        <v>11</v>
      </c>
    </row>
    <row r="5" spans="1:16" s="17" customFormat="1" x14ac:dyDescent="0.35">
      <c r="A5" s="13" t="s">
        <v>17</v>
      </c>
      <c r="B5" s="14">
        <v>46026</v>
      </c>
      <c r="C5" s="13" t="s">
        <v>18</v>
      </c>
      <c r="D5" s="13" t="s">
        <v>10</v>
      </c>
      <c r="E5" s="13">
        <v>200</v>
      </c>
      <c r="F5" s="15">
        <v>15</v>
      </c>
      <c r="G5" s="15">
        <v>500</v>
      </c>
      <c r="H5" s="13">
        <v>6</v>
      </c>
      <c r="I5" s="15">
        <f t="shared" si="0"/>
        <v>3000</v>
      </c>
      <c r="J5" s="15">
        <f t="shared" si="1"/>
        <v>3500</v>
      </c>
      <c r="K5" s="15">
        <f t="shared" si="2"/>
        <v>17.5</v>
      </c>
      <c r="L5" s="13" t="str">
        <f t="shared" si="3"/>
        <v>Delayed</v>
      </c>
      <c r="M5" s="16">
        <f t="shared" si="4"/>
        <v>35</v>
      </c>
    </row>
    <row r="6" spans="1:16" s="12" customFormat="1" x14ac:dyDescent="0.35">
      <c r="A6" s="8" t="s">
        <v>19</v>
      </c>
      <c r="B6" s="9">
        <v>46027</v>
      </c>
      <c r="C6" s="8" t="s">
        <v>9</v>
      </c>
      <c r="D6" s="8" t="s">
        <v>13</v>
      </c>
      <c r="E6" s="8">
        <v>90</v>
      </c>
      <c r="F6" s="10">
        <v>20</v>
      </c>
      <c r="G6" s="10">
        <v>270</v>
      </c>
      <c r="H6" s="8">
        <v>4</v>
      </c>
      <c r="I6" s="10">
        <f t="shared" si="0"/>
        <v>1800</v>
      </c>
      <c r="J6" s="10">
        <f t="shared" si="1"/>
        <v>2070</v>
      </c>
      <c r="K6" s="10">
        <f t="shared" si="2"/>
        <v>23</v>
      </c>
      <c r="L6" s="8" t="str">
        <f t="shared" si="3"/>
        <v>On Time</v>
      </c>
      <c r="M6" s="11">
        <f t="shared" si="4"/>
        <v>54</v>
      </c>
    </row>
    <row r="7" spans="1:16" s="12" customFormat="1" x14ac:dyDescent="0.35">
      <c r="A7" s="8" t="s">
        <v>20</v>
      </c>
      <c r="B7" s="9">
        <v>46028</v>
      </c>
      <c r="C7" s="8" t="s">
        <v>12</v>
      </c>
      <c r="D7" s="8" t="s">
        <v>16</v>
      </c>
      <c r="E7" s="8">
        <v>110</v>
      </c>
      <c r="F7" s="10">
        <v>10</v>
      </c>
      <c r="G7" s="10">
        <v>320</v>
      </c>
      <c r="H7" s="8">
        <v>3</v>
      </c>
      <c r="I7" s="10">
        <f t="shared" si="0"/>
        <v>1100</v>
      </c>
      <c r="J7" s="10">
        <f t="shared" si="1"/>
        <v>1420</v>
      </c>
      <c r="K7" s="10">
        <f t="shared" si="2"/>
        <v>12.909090909090908</v>
      </c>
      <c r="L7" s="8" t="str">
        <f t="shared" si="3"/>
        <v>On Time</v>
      </c>
      <c r="M7" s="11">
        <f t="shared" si="4"/>
        <v>74.181818181818187</v>
      </c>
    </row>
    <row r="8" spans="1:16" s="12" customFormat="1" x14ac:dyDescent="0.35">
      <c r="A8" s="8" t="s">
        <v>21</v>
      </c>
      <c r="B8" s="9">
        <v>46029</v>
      </c>
      <c r="C8" s="8" t="s">
        <v>15</v>
      </c>
      <c r="D8" s="8" t="s">
        <v>10</v>
      </c>
      <c r="E8" s="8">
        <v>140</v>
      </c>
      <c r="F8" s="10">
        <v>15</v>
      </c>
      <c r="G8" s="10">
        <v>350</v>
      </c>
      <c r="H8" s="8">
        <v>2</v>
      </c>
      <c r="I8" s="10">
        <f t="shared" si="0"/>
        <v>2100</v>
      </c>
      <c r="J8" s="10">
        <f t="shared" si="1"/>
        <v>2450</v>
      </c>
      <c r="K8" s="10">
        <f t="shared" si="2"/>
        <v>17.5</v>
      </c>
      <c r="L8" s="8" t="str">
        <f t="shared" si="3"/>
        <v>On Time</v>
      </c>
      <c r="M8" s="11">
        <f t="shared" si="4"/>
        <v>65</v>
      </c>
    </row>
    <row r="9" spans="1:16" s="17" customFormat="1" x14ac:dyDescent="0.35">
      <c r="A9" s="13" t="s">
        <v>22</v>
      </c>
      <c r="B9" s="14">
        <v>46030</v>
      </c>
      <c r="C9" s="13" t="s">
        <v>18</v>
      </c>
      <c r="D9" s="13" t="s">
        <v>13</v>
      </c>
      <c r="E9" s="13">
        <v>60</v>
      </c>
      <c r="F9" s="15">
        <v>20</v>
      </c>
      <c r="G9" s="15">
        <v>200</v>
      </c>
      <c r="H9" s="13">
        <v>5</v>
      </c>
      <c r="I9" s="15">
        <f t="shared" si="0"/>
        <v>1200</v>
      </c>
      <c r="J9" s="15">
        <f t="shared" si="1"/>
        <v>1400</v>
      </c>
      <c r="K9" s="15">
        <f t="shared" si="2"/>
        <v>23.333333333333332</v>
      </c>
      <c r="L9" s="13" t="str">
        <f t="shared" si="3"/>
        <v>Delayed</v>
      </c>
      <c r="M9" s="16">
        <f t="shared" si="4"/>
        <v>23.333333333333336</v>
      </c>
    </row>
    <row r="10" spans="1:16" s="12" customFormat="1" x14ac:dyDescent="0.35">
      <c r="A10" s="8" t="s">
        <v>23</v>
      </c>
      <c r="B10" s="9">
        <v>46031</v>
      </c>
      <c r="C10" s="8" t="s">
        <v>9</v>
      </c>
      <c r="D10" s="8" t="s">
        <v>16</v>
      </c>
      <c r="E10" s="8">
        <v>170</v>
      </c>
      <c r="F10" s="10">
        <v>10</v>
      </c>
      <c r="G10" s="10">
        <v>450</v>
      </c>
      <c r="H10" s="8">
        <v>4</v>
      </c>
      <c r="I10" s="10">
        <f t="shared" si="0"/>
        <v>1700</v>
      </c>
      <c r="J10" s="10">
        <f t="shared" si="1"/>
        <v>2150</v>
      </c>
      <c r="K10" s="10">
        <f t="shared" si="2"/>
        <v>12.647058823529411</v>
      </c>
      <c r="L10" s="8" t="str">
        <f t="shared" si="3"/>
        <v>On Time</v>
      </c>
      <c r="M10" s="11">
        <f t="shared" si="4"/>
        <v>74.705882352941174</v>
      </c>
    </row>
    <row r="11" spans="1:16" s="12" customFormat="1" x14ac:dyDescent="0.35">
      <c r="A11" s="8" t="s">
        <v>24</v>
      </c>
      <c r="B11" s="9">
        <v>46032</v>
      </c>
      <c r="C11" s="8" t="s">
        <v>12</v>
      </c>
      <c r="D11" s="8" t="s">
        <v>10</v>
      </c>
      <c r="E11" s="8">
        <v>130</v>
      </c>
      <c r="F11" s="10">
        <v>15</v>
      </c>
      <c r="G11" s="10">
        <v>300</v>
      </c>
      <c r="H11" s="8">
        <v>3</v>
      </c>
      <c r="I11" s="10">
        <f t="shared" si="0"/>
        <v>1950</v>
      </c>
      <c r="J11" s="10">
        <f t="shared" si="1"/>
        <v>2250</v>
      </c>
      <c r="K11" s="10">
        <f t="shared" si="2"/>
        <v>17.307692307692307</v>
      </c>
      <c r="L11" s="8" t="str">
        <f t="shared" si="3"/>
        <v>On Time</v>
      </c>
      <c r="M11" s="11">
        <f t="shared" si="4"/>
        <v>65.384615384615387</v>
      </c>
    </row>
    <row r="12" spans="1:16" s="17" customFormat="1" x14ac:dyDescent="0.35">
      <c r="A12" s="13" t="s">
        <v>25</v>
      </c>
      <c r="B12" s="14">
        <v>46033</v>
      </c>
      <c r="C12" s="13" t="s">
        <v>15</v>
      </c>
      <c r="D12" s="13" t="s">
        <v>13</v>
      </c>
      <c r="E12" s="13">
        <v>75</v>
      </c>
      <c r="F12" s="15">
        <v>20</v>
      </c>
      <c r="G12" s="15">
        <v>210</v>
      </c>
      <c r="H12" s="13">
        <v>6</v>
      </c>
      <c r="I12" s="15">
        <f t="shared" si="0"/>
        <v>1500</v>
      </c>
      <c r="J12" s="15">
        <f t="shared" si="1"/>
        <v>1710</v>
      </c>
      <c r="K12" s="15">
        <f t="shared" si="2"/>
        <v>22.8</v>
      </c>
      <c r="L12" s="13" t="str">
        <f t="shared" si="3"/>
        <v>Delayed</v>
      </c>
      <c r="M12" s="16">
        <f t="shared" si="4"/>
        <v>24.4</v>
      </c>
    </row>
    <row r="13" spans="1:16" s="12" customFormat="1" x14ac:dyDescent="0.35">
      <c r="A13" s="8" t="s">
        <v>26</v>
      </c>
      <c r="B13" s="9">
        <v>46034</v>
      </c>
      <c r="C13" s="8" t="s">
        <v>18</v>
      </c>
      <c r="D13" s="8" t="s">
        <v>16</v>
      </c>
      <c r="E13" s="8">
        <v>160</v>
      </c>
      <c r="F13" s="10">
        <v>10</v>
      </c>
      <c r="G13" s="10">
        <v>420</v>
      </c>
      <c r="H13" s="8">
        <v>2</v>
      </c>
      <c r="I13" s="10">
        <f t="shared" si="0"/>
        <v>1600</v>
      </c>
      <c r="J13" s="10">
        <f t="shared" si="1"/>
        <v>2020</v>
      </c>
      <c r="K13" s="10">
        <f t="shared" si="2"/>
        <v>12.625</v>
      </c>
      <c r="L13" s="8" t="str">
        <f t="shared" si="3"/>
        <v>On Time</v>
      </c>
      <c r="M13" s="11">
        <f t="shared" si="4"/>
        <v>74.75</v>
      </c>
    </row>
    <row r="14" spans="1:16" s="17" customFormat="1" x14ac:dyDescent="0.35">
      <c r="A14" s="13" t="s">
        <v>27</v>
      </c>
      <c r="B14" s="14">
        <v>46035</v>
      </c>
      <c r="C14" s="13" t="s">
        <v>9</v>
      </c>
      <c r="D14" s="13" t="s">
        <v>10</v>
      </c>
      <c r="E14" s="13">
        <v>180</v>
      </c>
      <c r="F14" s="15">
        <v>15</v>
      </c>
      <c r="G14" s="15">
        <v>480</v>
      </c>
      <c r="H14" s="13">
        <v>5</v>
      </c>
      <c r="I14" s="15">
        <f t="shared" si="0"/>
        <v>2700</v>
      </c>
      <c r="J14" s="15">
        <f t="shared" si="1"/>
        <v>3180</v>
      </c>
      <c r="K14" s="15">
        <f t="shared" si="2"/>
        <v>17.666666666666668</v>
      </c>
      <c r="L14" s="13" t="str">
        <f t="shared" si="3"/>
        <v>Delayed</v>
      </c>
      <c r="M14" s="16">
        <f t="shared" si="4"/>
        <v>34.666666666666664</v>
      </c>
    </row>
    <row r="15" spans="1:16" s="12" customFormat="1" x14ac:dyDescent="0.35">
      <c r="A15" s="8" t="s">
        <v>28</v>
      </c>
      <c r="B15" s="9">
        <v>46036</v>
      </c>
      <c r="C15" s="8" t="s">
        <v>12</v>
      </c>
      <c r="D15" s="8" t="s">
        <v>13</v>
      </c>
      <c r="E15" s="8">
        <v>95</v>
      </c>
      <c r="F15" s="10">
        <v>20</v>
      </c>
      <c r="G15" s="10">
        <v>260</v>
      </c>
      <c r="H15" s="8">
        <v>4</v>
      </c>
      <c r="I15" s="10">
        <f t="shared" si="0"/>
        <v>1900</v>
      </c>
      <c r="J15" s="10">
        <f t="shared" si="1"/>
        <v>2160</v>
      </c>
      <c r="K15" s="10">
        <f t="shared" si="2"/>
        <v>22.736842105263158</v>
      </c>
      <c r="L15" s="8" t="str">
        <f t="shared" si="3"/>
        <v>On Time</v>
      </c>
      <c r="M15" s="11">
        <f t="shared" si="4"/>
        <v>54.526315789473685</v>
      </c>
    </row>
    <row r="16" spans="1:16" s="12" customFormat="1" x14ac:dyDescent="0.35">
      <c r="A16" s="8" t="s">
        <v>29</v>
      </c>
      <c r="B16" s="9">
        <v>46037</v>
      </c>
      <c r="C16" s="8" t="s">
        <v>15</v>
      </c>
      <c r="D16" s="8" t="s">
        <v>16</v>
      </c>
      <c r="E16" s="8">
        <v>155</v>
      </c>
      <c r="F16" s="10">
        <v>10</v>
      </c>
      <c r="G16" s="10">
        <v>390</v>
      </c>
      <c r="H16" s="8">
        <v>3</v>
      </c>
      <c r="I16" s="10">
        <f t="shared" si="0"/>
        <v>1550</v>
      </c>
      <c r="J16" s="10">
        <f t="shared" si="1"/>
        <v>1940</v>
      </c>
      <c r="K16" s="10">
        <f t="shared" si="2"/>
        <v>12.516129032258064</v>
      </c>
      <c r="L16" s="8" t="str">
        <f t="shared" si="3"/>
        <v>On Time</v>
      </c>
      <c r="M16" s="11">
        <f t="shared" si="4"/>
        <v>74.967741935483872</v>
      </c>
    </row>
    <row r="17" spans="1:13" s="17" customFormat="1" x14ac:dyDescent="0.35">
      <c r="A17" s="13" t="s">
        <v>30</v>
      </c>
      <c r="B17" s="14">
        <v>46038</v>
      </c>
      <c r="C17" s="13" t="s">
        <v>18</v>
      </c>
      <c r="D17" s="13" t="s">
        <v>10</v>
      </c>
      <c r="E17" s="13">
        <v>145</v>
      </c>
      <c r="F17" s="15">
        <v>15</v>
      </c>
      <c r="G17" s="15">
        <v>360</v>
      </c>
      <c r="H17" s="13">
        <v>6</v>
      </c>
      <c r="I17" s="15">
        <f t="shared" si="0"/>
        <v>2175</v>
      </c>
      <c r="J17" s="15">
        <f t="shared" si="1"/>
        <v>2535</v>
      </c>
      <c r="K17" s="15">
        <f t="shared" si="2"/>
        <v>17.482758620689655</v>
      </c>
      <c r="L17" s="13" t="str">
        <f t="shared" si="3"/>
        <v>Delayed</v>
      </c>
      <c r="M17" s="16">
        <f t="shared" si="4"/>
        <v>35.03448275862069</v>
      </c>
    </row>
    <row r="18" spans="1:13" s="12" customFormat="1" x14ac:dyDescent="0.35">
      <c r="A18" s="8" t="s">
        <v>31</v>
      </c>
      <c r="B18" s="9">
        <v>46039</v>
      </c>
      <c r="C18" s="8" t="s">
        <v>9</v>
      </c>
      <c r="D18" s="8" t="s">
        <v>13</v>
      </c>
      <c r="E18" s="8">
        <v>85</v>
      </c>
      <c r="F18" s="10">
        <v>20</v>
      </c>
      <c r="G18" s="10">
        <v>240</v>
      </c>
      <c r="H18" s="8">
        <v>2</v>
      </c>
      <c r="I18" s="10">
        <f t="shared" si="0"/>
        <v>1700</v>
      </c>
      <c r="J18" s="10">
        <f t="shared" si="1"/>
        <v>1940</v>
      </c>
      <c r="K18" s="10">
        <f t="shared" si="2"/>
        <v>22.823529411764707</v>
      </c>
      <c r="L18" s="8" t="str">
        <f t="shared" si="3"/>
        <v>On Time</v>
      </c>
      <c r="M18" s="11">
        <f t="shared" si="4"/>
        <v>54.352941176470587</v>
      </c>
    </row>
    <row r="19" spans="1:13" s="17" customFormat="1" x14ac:dyDescent="0.35">
      <c r="A19" s="13" t="s">
        <v>32</v>
      </c>
      <c r="B19" s="14">
        <v>46040</v>
      </c>
      <c r="C19" s="13" t="s">
        <v>12</v>
      </c>
      <c r="D19" s="13" t="s">
        <v>16</v>
      </c>
      <c r="E19" s="13">
        <v>175</v>
      </c>
      <c r="F19" s="15">
        <v>10</v>
      </c>
      <c r="G19" s="15">
        <v>460</v>
      </c>
      <c r="H19" s="13">
        <v>5</v>
      </c>
      <c r="I19" s="15">
        <f t="shared" si="0"/>
        <v>1750</v>
      </c>
      <c r="J19" s="15">
        <f t="shared" si="1"/>
        <v>2210</v>
      </c>
      <c r="K19" s="15">
        <f t="shared" si="2"/>
        <v>12.628571428571428</v>
      </c>
      <c r="L19" s="13" t="str">
        <f t="shared" si="3"/>
        <v>Delayed</v>
      </c>
      <c r="M19" s="16">
        <f t="shared" si="4"/>
        <v>44.742857142857147</v>
      </c>
    </row>
    <row r="20" spans="1:13" s="12" customFormat="1" x14ac:dyDescent="0.35">
      <c r="A20" s="8" t="s">
        <v>33</v>
      </c>
      <c r="B20" s="9">
        <v>46041</v>
      </c>
      <c r="C20" s="8" t="s">
        <v>15</v>
      </c>
      <c r="D20" s="8" t="s">
        <v>10</v>
      </c>
      <c r="E20" s="8">
        <v>125</v>
      </c>
      <c r="F20" s="10">
        <v>15</v>
      </c>
      <c r="G20" s="10">
        <v>310</v>
      </c>
      <c r="H20" s="8">
        <v>4</v>
      </c>
      <c r="I20" s="10">
        <f t="shared" si="0"/>
        <v>1875</v>
      </c>
      <c r="J20" s="10">
        <f t="shared" si="1"/>
        <v>2185</v>
      </c>
      <c r="K20" s="10">
        <f t="shared" si="2"/>
        <v>17.48</v>
      </c>
      <c r="L20" s="8" t="str">
        <f t="shared" si="3"/>
        <v>On Time</v>
      </c>
      <c r="M20" s="11">
        <f t="shared" si="4"/>
        <v>65.039999999999992</v>
      </c>
    </row>
    <row r="21" spans="1:13" s="12" customFormat="1" x14ac:dyDescent="0.35">
      <c r="A21" s="8" t="s">
        <v>34</v>
      </c>
      <c r="B21" s="9">
        <v>46042</v>
      </c>
      <c r="C21" s="8" t="s">
        <v>18</v>
      </c>
      <c r="D21" s="8" t="s">
        <v>13</v>
      </c>
      <c r="E21" s="8">
        <v>70</v>
      </c>
      <c r="F21" s="10">
        <v>20</v>
      </c>
      <c r="G21" s="10">
        <v>220</v>
      </c>
      <c r="H21" s="8">
        <v>3</v>
      </c>
      <c r="I21" s="10">
        <f t="shared" si="0"/>
        <v>1400</v>
      </c>
      <c r="J21" s="10">
        <f t="shared" si="1"/>
        <v>1620</v>
      </c>
      <c r="K21" s="10">
        <f t="shared" si="2"/>
        <v>23.142857142857142</v>
      </c>
      <c r="L21" s="8" t="str">
        <f t="shared" si="3"/>
        <v>On Time</v>
      </c>
      <c r="M21" s="11">
        <f t="shared" si="4"/>
        <v>53.714285714285715</v>
      </c>
    </row>
    <row r="22" spans="1:13" s="17" customFormat="1" x14ac:dyDescent="0.35">
      <c r="A22" s="13" t="s">
        <v>35</v>
      </c>
      <c r="B22" s="14">
        <v>46043</v>
      </c>
      <c r="C22" s="13" t="s">
        <v>9</v>
      </c>
      <c r="D22" s="13" t="s">
        <v>16</v>
      </c>
      <c r="E22" s="13">
        <v>165</v>
      </c>
      <c r="F22" s="15">
        <v>10</v>
      </c>
      <c r="G22" s="15">
        <v>430</v>
      </c>
      <c r="H22" s="13">
        <v>6</v>
      </c>
      <c r="I22" s="15">
        <f t="shared" si="0"/>
        <v>1650</v>
      </c>
      <c r="J22" s="15">
        <f t="shared" si="1"/>
        <v>2080</v>
      </c>
      <c r="K22" s="15">
        <f t="shared" si="2"/>
        <v>12.606060606060606</v>
      </c>
      <c r="L22" s="13" t="str">
        <f t="shared" si="3"/>
        <v>Delayed</v>
      </c>
      <c r="M22" s="16">
        <f t="shared" si="4"/>
        <v>44.787878787878789</v>
      </c>
    </row>
    <row r="23" spans="1:13" s="12" customFormat="1" x14ac:dyDescent="0.35">
      <c r="A23" s="8" t="s">
        <v>36</v>
      </c>
      <c r="B23" s="9">
        <v>46044</v>
      </c>
      <c r="C23" s="8" t="s">
        <v>12</v>
      </c>
      <c r="D23" s="8" t="s">
        <v>10</v>
      </c>
      <c r="E23" s="8">
        <v>135</v>
      </c>
      <c r="F23" s="10">
        <v>15</v>
      </c>
      <c r="G23" s="10">
        <v>340</v>
      </c>
      <c r="H23" s="8">
        <v>2</v>
      </c>
      <c r="I23" s="10">
        <f t="shared" si="0"/>
        <v>2025</v>
      </c>
      <c r="J23" s="10">
        <f t="shared" si="1"/>
        <v>2365</v>
      </c>
      <c r="K23" s="10">
        <f t="shared" si="2"/>
        <v>17.518518518518519</v>
      </c>
      <c r="L23" s="8" t="str">
        <f t="shared" si="3"/>
        <v>On Time</v>
      </c>
      <c r="M23" s="11">
        <f t="shared" si="4"/>
        <v>64.962962962962962</v>
      </c>
    </row>
    <row r="24" spans="1:13" s="17" customFormat="1" x14ac:dyDescent="0.35">
      <c r="A24" s="13" t="s">
        <v>37</v>
      </c>
      <c r="B24" s="14">
        <v>46045</v>
      </c>
      <c r="C24" s="13" t="s">
        <v>15</v>
      </c>
      <c r="D24" s="13" t="s">
        <v>13</v>
      </c>
      <c r="E24" s="13">
        <v>100</v>
      </c>
      <c r="F24" s="15">
        <v>20</v>
      </c>
      <c r="G24" s="15">
        <v>280</v>
      </c>
      <c r="H24" s="13">
        <v>5</v>
      </c>
      <c r="I24" s="15">
        <f t="shared" si="0"/>
        <v>2000</v>
      </c>
      <c r="J24" s="15">
        <f t="shared" si="1"/>
        <v>2280</v>
      </c>
      <c r="K24" s="15">
        <f t="shared" si="2"/>
        <v>22.8</v>
      </c>
      <c r="L24" s="13" t="str">
        <f t="shared" si="3"/>
        <v>Delayed</v>
      </c>
      <c r="M24" s="16">
        <f t="shared" si="4"/>
        <v>24.4</v>
      </c>
    </row>
    <row r="25" spans="1:13" s="12" customFormat="1" x14ac:dyDescent="0.35">
      <c r="A25" s="8" t="s">
        <v>38</v>
      </c>
      <c r="B25" s="9">
        <v>46046</v>
      </c>
      <c r="C25" s="8" t="s">
        <v>18</v>
      </c>
      <c r="D25" s="8" t="s">
        <v>16</v>
      </c>
      <c r="E25" s="8">
        <v>150</v>
      </c>
      <c r="F25" s="10">
        <v>10</v>
      </c>
      <c r="G25" s="10">
        <v>410</v>
      </c>
      <c r="H25" s="8">
        <v>4</v>
      </c>
      <c r="I25" s="10">
        <f t="shared" si="0"/>
        <v>1500</v>
      </c>
      <c r="J25" s="10">
        <f t="shared" si="1"/>
        <v>1910</v>
      </c>
      <c r="K25" s="10">
        <f t="shared" si="2"/>
        <v>12.733333333333333</v>
      </c>
      <c r="L25" s="8" t="str">
        <f t="shared" si="3"/>
        <v>On Time</v>
      </c>
      <c r="M25" s="11">
        <f t="shared" si="4"/>
        <v>74.533333333333331</v>
      </c>
    </row>
    <row r="26" spans="1:13" s="12" customFormat="1" x14ac:dyDescent="0.35">
      <c r="A26" s="8" t="s">
        <v>39</v>
      </c>
      <c r="B26" s="9">
        <v>46047</v>
      </c>
      <c r="C26" s="8" t="s">
        <v>9</v>
      </c>
      <c r="D26" s="8" t="s">
        <v>10</v>
      </c>
      <c r="E26" s="8">
        <v>190</v>
      </c>
      <c r="F26" s="10">
        <v>15</v>
      </c>
      <c r="G26" s="10">
        <v>500</v>
      </c>
      <c r="H26" s="8">
        <v>3</v>
      </c>
      <c r="I26" s="10">
        <f t="shared" si="0"/>
        <v>2850</v>
      </c>
      <c r="J26" s="10">
        <f t="shared" si="1"/>
        <v>3350</v>
      </c>
      <c r="K26" s="10">
        <f t="shared" si="2"/>
        <v>17.631578947368421</v>
      </c>
      <c r="L26" s="8" t="str">
        <f t="shared" si="3"/>
        <v>On Time</v>
      </c>
      <c r="M26" s="11">
        <f t="shared" si="4"/>
        <v>64.73684210526315</v>
      </c>
    </row>
    <row r="27" spans="1:13" s="17" customFormat="1" x14ac:dyDescent="0.35">
      <c r="A27" s="13" t="s">
        <v>40</v>
      </c>
      <c r="B27" s="14">
        <v>46048</v>
      </c>
      <c r="C27" s="13" t="s">
        <v>12</v>
      </c>
      <c r="D27" s="13" t="s">
        <v>13</v>
      </c>
      <c r="E27" s="13">
        <v>105</v>
      </c>
      <c r="F27" s="15">
        <v>20</v>
      </c>
      <c r="G27" s="15">
        <v>290</v>
      </c>
      <c r="H27" s="13">
        <v>6</v>
      </c>
      <c r="I27" s="15">
        <f t="shared" si="0"/>
        <v>2100</v>
      </c>
      <c r="J27" s="15">
        <f t="shared" si="1"/>
        <v>2390</v>
      </c>
      <c r="K27" s="15">
        <f t="shared" si="2"/>
        <v>22.761904761904763</v>
      </c>
      <c r="L27" s="13" t="str">
        <f t="shared" si="3"/>
        <v>Delayed</v>
      </c>
      <c r="M27" s="16">
        <f t="shared" si="4"/>
        <v>24.476190476190474</v>
      </c>
    </row>
    <row r="28" spans="1:13" s="12" customFormat="1" x14ac:dyDescent="0.35">
      <c r="A28" s="8" t="s">
        <v>41</v>
      </c>
      <c r="B28" s="9">
        <v>46049</v>
      </c>
      <c r="C28" s="8" t="s">
        <v>15</v>
      </c>
      <c r="D28" s="8" t="s">
        <v>16</v>
      </c>
      <c r="E28" s="8">
        <v>160</v>
      </c>
      <c r="F28" s="10">
        <v>10</v>
      </c>
      <c r="G28" s="10">
        <v>420</v>
      </c>
      <c r="H28" s="8">
        <v>2</v>
      </c>
      <c r="I28" s="10">
        <f t="shared" si="0"/>
        <v>1600</v>
      </c>
      <c r="J28" s="10">
        <f t="shared" si="1"/>
        <v>2020</v>
      </c>
      <c r="K28" s="10">
        <f t="shared" si="2"/>
        <v>12.625</v>
      </c>
      <c r="L28" s="8" t="str">
        <f t="shared" si="3"/>
        <v>On Time</v>
      </c>
      <c r="M28" s="11">
        <f t="shared" si="4"/>
        <v>74.75</v>
      </c>
    </row>
    <row r="29" spans="1:13" s="17" customFormat="1" x14ac:dyDescent="0.35">
      <c r="A29" s="13" t="s">
        <v>42</v>
      </c>
      <c r="B29" s="14">
        <v>46050</v>
      </c>
      <c r="C29" s="13" t="s">
        <v>18</v>
      </c>
      <c r="D29" s="13" t="s">
        <v>10</v>
      </c>
      <c r="E29" s="13">
        <v>155</v>
      </c>
      <c r="F29" s="15">
        <v>15</v>
      </c>
      <c r="G29" s="15">
        <v>370</v>
      </c>
      <c r="H29" s="13">
        <v>5</v>
      </c>
      <c r="I29" s="15">
        <f t="shared" si="0"/>
        <v>2325</v>
      </c>
      <c r="J29" s="15">
        <f t="shared" si="1"/>
        <v>2695</v>
      </c>
      <c r="K29" s="15">
        <f t="shared" si="2"/>
        <v>17.387096774193548</v>
      </c>
      <c r="L29" s="13" t="str">
        <f t="shared" si="3"/>
        <v>Delayed</v>
      </c>
      <c r="M29" s="16">
        <f t="shared" si="4"/>
        <v>35.225806451612904</v>
      </c>
    </row>
    <row r="30" spans="1:13" s="12" customFormat="1" x14ac:dyDescent="0.35">
      <c r="A30" s="8" t="s">
        <v>43</v>
      </c>
      <c r="B30" s="9">
        <v>46051</v>
      </c>
      <c r="C30" s="8" t="s">
        <v>9</v>
      </c>
      <c r="D30" s="8" t="s">
        <v>13</v>
      </c>
      <c r="E30" s="8">
        <v>95</v>
      </c>
      <c r="F30" s="10">
        <v>20</v>
      </c>
      <c r="G30" s="10">
        <v>260</v>
      </c>
      <c r="H30" s="8">
        <v>4</v>
      </c>
      <c r="I30" s="10">
        <f t="shared" si="0"/>
        <v>1900</v>
      </c>
      <c r="J30" s="10">
        <f t="shared" si="1"/>
        <v>2160</v>
      </c>
      <c r="K30" s="10">
        <f t="shared" si="2"/>
        <v>22.736842105263158</v>
      </c>
      <c r="L30" s="8" t="str">
        <f t="shared" si="3"/>
        <v>On Time</v>
      </c>
      <c r="M30" s="11">
        <f t="shared" si="4"/>
        <v>54.526315789473685</v>
      </c>
    </row>
    <row r="31" spans="1:13" s="12" customFormat="1" x14ac:dyDescent="0.35">
      <c r="A31" s="8" t="s">
        <v>44</v>
      </c>
      <c r="B31" s="9">
        <v>46052</v>
      </c>
      <c r="C31" s="8" t="s">
        <v>12</v>
      </c>
      <c r="D31" s="8" t="s">
        <v>16</v>
      </c>
      <c r="E31" s="8">
        <v>180</v>
      </c>
      <c r="F31" s="10">
        <v>10</v>
      </c>
      <c r="G31" s="10">
        <v>470</v>
      </c>
      <c r="H31" s="8">
        <v>3</v>
      </c>
      <c r="I31" s="10">
        <f t="shared" si="0"/>
        <v>1800</v>
      </c>
      <c r="J31" s="10">
        <f t="shared" si="1"/>
        <v>2270</v>
      </c>
      <c r="K31" s="10">
        <f t="shared" si="2"/>
        <v>12.611111111111111</v>
      </c>
      <c r="L31" s="8" t="str">
        <f t="shared" si="3"/>
        <v>On Time</v>
      </c>
      <c r="M31" s="11">
        <f t="shared" si="4"/>
        <v>74.777777777777771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AE4AD-B71C-453A-BC0F-70A5388090C7}">
  <sheetPr codeName="Sheet2"/>
  <dimension ref="A1:M31"/>
  <sheetViews>
    <sheetView workbookViewId="0">
      <selection activeCell="G10" sqref="G10"/>
    </sheetView>
  </sheetViews>
  <sheetFormatPr defaultRowHeight="14.5" x14ac:dyDescent="0.35"/>
  <cols>
    <col min="1" max="1" width="10.1796875" style="1" bestFit="1" customWidth="1"/>
    <col min="2" max="2" width="10.08984375" style="1" bestFit="1" customWidth="1"/>
    <col min="3" max="3" width="6.26953125" style="1" bestFit="1" customWidth="1"/>
    <col min="4" max="4" width="7.1796875" style="1" bestFit="1" customWidth="1"/>
    <col min="5" max="5" width="7.7265625" style="1" bestFit="1" customWidth="1"/>
    <col min="6" max="6" width="8" style="1" bestFit="1" customWidth="1"/>
    <col min="7" max="7" width="12.36328125" style="1" bestFit="1" customWidth="1"/>
    <col min="8" max="8" width="11.26953125" style="1" bestFit="1" customWidth="1"/>
    <col min="9" max="9" width="15.81640625" style="1" bestFit="1" customWidth="1"/>
    <col min="10" max="10" width="17.1796875" style="1" bestFit="1" customWidth="1"/>
    <col min="11" max="11" width="11.453125" style="1" bestFit="1" customWidth="1"/>
    <col min="12" max="12" width="18.26953125" style="1" bestFit="1" customWidth="1"/>
    <col min="13" max="13" width="13.7265625" style="1" bestFit="1" customWidth="1"/>
    <col min="14" max="16384" width="8.7265625" style="1"/>
  </cols>
  <sheetData>
    <row r="1" spans="1:13" x14ac:dyDescent="0.3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46</v>
      </c>
      <c r="J1" s="18" t="s">
        <v>45</v>
      </c>
      <c r="K1" s="18" t="s">
        <v>47</v>
      </c>
      <c r="L1" s="18" t="s">
        <v>48</v>
      </c>
      <c r="M1" s="18" t="s">
        <v>49</v>
      </c>
    </row>
    <row r="2" spans="1:13" x14ac:dyDescent="0.35">
      <c r="A2" s="1" t="s">
        <v>8</v>
      </c>
      <c r="B2" s="2">
        <v>46023</v>
      </c>
      <c r="C2" s="1" t="s">
        <v>9</v>
      </c>
      <c r="D2" s="1" t="s">
        <v>10</v>
      </c>
      <c r="E2" s="1">
        <v>120</v>
      </c>
      <c r="F2" s="7">
        <v>15</v>
      </c>
      <c r="G2" s="7">
        <v>300</v>
      </c>
      <c r="H2" s="1">
        <v>3</v>
      </c>
      <c r="I2" s="7">
        <v>1800</v>
      </c>
      <c r="J2" s="7">
        <v>2100</v>
      </c>
      <c r="K2" s="7">
        <v>17.5</v>
      </c>
      <c r="L2" s="1" t="s">
        <v>53</v>
      </c>
      <c r="M2" s="5">
        <v>65</v>
      </c>
    </row>
    <row r="3" spans="1:13" x14ac:dyDescent="0.35">
      <c r="A3" s="1" t="s">
        <v>11</v>
      </c>
      <c r="B3" s="2">
        <v>46024</v>
      </c>
      <c r="C3" s="1" t="s">
        <v>12</v>
      </c>
      <c r="D3" s="1" t="s">
        <v>13</v>
      </c>
      <c r="E3" s="1">
        <v>80</v>
      </c>
      <c r="F3" s="7">
        <v>20</v>
      </c>
      <c r="G3" s="7">
        <v>250</v>
      </c>
      <c r="H3" s="1">
        <v>5</v>
      </c>
      <c r="I3" s="7">
        <v>1600</v>
      </c>
      <c r="J3" s="7">
        <v>1850</v>
      </c>
      <c r="K3" s="7">
        <v>23.125</v>
      </c>
      <c r="L3" s="1" t="s">
        <v>54</v>
      </c>
      <c r="M3" s="5">
        <v>23.75</v>
      </c>
    </row>
    <row r="4" spans="1:13" x14ac:dyDescent="0.35">
      <c r="A4" s="1" t="s">
        <v>14</v>
      </c>
      <c r="B4" s="2">
        <v>46025</v>
      </c>
      <c r="C4" s="1" t="s">
        <v>15</v>
      </c>
      <c r="D4" s="1" t="s">
        <v>16</v>
      </c>
      <c r="E4" s="1">
        <v>150</v>
      </c>
      <c r="F4" s="7">
        <v>10</v>
      </c>
      <c r="G4" s="7">
        <v>400</v>
      </c>
      <c r="H4" s="1">
        <v>2</v>
      </c>
      <c r="I4" s="7">
        <v>1500</v>
      </c>
      <c r="J4" s="7">
        <v>1900</v>
      </c>
      <c r="K4" s="7">
        <v>12.666666666666666</v>
      </c>
      <c r="L4" s="1" t="s">
        <v>53</v>
      </c>
      <c r="M4" s="5">
        <v>74.666666666666671</v>
      </c>
    </row>
    <row r="5" spans="1:13" x14ac:dyDescent="0.35">
      <c r="A5" s="1" t="s">
        <v>17</v>
      </c>
      <c r="B5" s="2">
        <v>46026</v>
      </c>
      <c r="C5" s="1" t="s">
        <v>18</v>
      </c>
      <c r="D5" s="1" t="s">
        <v>10</v>
      </c>
      <c r="E5" s="1">
        <v>200</v>
      </c>
      <c r="F5" s="7">
        <v>15</v>
      </c>
      <c r="G5" s="7">
        <v>500</v>
      </c>
      <c r="H5" s="1">
        <v>6</v>
      </c>
      <c r="I5" s="7">
        <v>3000</v>
      </c>
      <c r="J5" s="7">
        <v>3500</v>
      </c>
      <c r="K5" s="7">
        <v>17.5</v>
      </c>
      <c r="L5" s="1" t="s">
        <v>54</v>
      </c>
      <c r="M5" s="5">
        <v>35</v>
      </c>
    </row>
    <row r="6" spans="1:13" x14ac:dyDescent="0.35">
      <c r="A6" s="1" t="s">
        <v>19</v>
      </c>
      <c r="B6" s="2">
        <v>46027</v>
      </c>
      <c r="C6" s="1" t="s">
        <v>9</v>
      </c>
      <c r="D6" s="1" t="s">
        <v>13</v>
      </c>
      <c r="E6" s="1">
        <v>90</v>
      </c>
      <c r="F6" s="7">
        <v>20</v>
      </c>
      <c r="G6" s="7">
        <v>270</v>
      </c>
      <c r="H6" s="1">
        <v>4</v>
      </c>
      <c r="I6" s="7">
        <v>1800</v>
      </c>
      <c r="J6" s="7">
        <v>2070</v>
      </c>
      <c r="K6" s="7">
        <v>23</v>
      </c>
      <c r="L6" s="1" t="s">
        <v>53</v>
      </c>
      <c r="M6" s="5">
        <v>54</v>
      </c>
    </row>
    <row r="7" spans="1:13" x14ac:dyDescent="0.35">
      <c r="A7" s="1" t="s">
        <v>20</v>
      </c>
      <c r="B7" s="2">
        <v>46028</v>
      </c>
      <c r="C7" s="1" t="s">
        <v>12</v>
      </c>
      <c r="D7" s="1" t="s">
        <v>16</v>
      </c>
      <c r="E7" s="1">
        <v>110</v>
      </c>
      <c r="F7" s="7">
        <v>10</v>
      </c>
      <c r="G7" s="7">
        <v>320</v>
      </c>
      <c r="H7" s="1">
        <v>3</v>
      </c>
      <c r="I7" s="7">
        <v>1100</v>
      </c>
      <c r="J7" s="7">
        <v>1420</v>
      </c>
      <c r="K7" s="7">
        <v>12.909090909090908</v>
      </c>
      <c r="L7" s="1" t="s">
        <v>53</v>
      </c>
      <c r="M7" s="5">
        <v>74.181818181818187</v>
      </c>
    </row>
    <row r="8" spans="1:13" x14ac:dyDescent="0.35">
      <c r="A8" s="1" t="s">
        <v>21</v>
      </c>
      <c r="B8" s="2">
        <v>46029</v>
      </c>
      <c r="C8" s="1" t="s">
        <v>15</v>
      </c>
      <c r="D8" s="1" t="s">
        <v>10</v>
      </c>
      <c r="E8" s="1">
        <v>140</v>
      </c>
      <c r="F8" s="7">
        <v>15</v>
      </c>
      <c r="G8" s="7">
        <v>350</v>
      </c>
      <c r="H8" s="1">
        <v>2</v>
      </c>
      <c r="I8" s="7">
        <v>2100</v>
      </c>
      <c r="J8" s="7">
        <v>2450</v>
      </c>
      <c r="K8" s="7">
        <v>17.5</v>
      </c>
      <c r="L8" s="1" t="s">
        <v>53</v>
      </c>
      <c r="M8" s="5">
        <v>65</v>
      </c>
    </row>
    <row r="9" spans="1:13" x14ac:dyDescent="0.35">
      <c r="A9" s="1" t="s">
        <v>22</v>
      </c>
      <c r="B9" s="2">
        <v>46030</v>
      </c>
      <c r="C9" s="1" t="s">
        <v>18</v>
      </c>
      <c r="D9" s="1" t="s">
        <v>13</v>
      </c>
      <c r="E9" s="1">
        <v>60</v>
      </c>
      <c r="F9" s="7">
        <v>20</v>
      </c>
      <c r="G9" s="7">
        <v>200</v>
      </c>
      <c r="H9" s="1">
        <v>5</v>
      </c>
      <c r="I9" s="7">
        <v>1200</v>
      </c>
      <c r="J9" s="7">
        <v>1400</v>
      </c>
      <c r="K9" s="7">
        <v>23.333333333333332</v>
      </c>
      <c r="L9" s="1" t="s">
        <v>54</v>
      </c>
      <c r="M9" s="5">
        <v>23.333333333333336</v>
      </c>
    </row>
    <row r="10" spans="1:13" x14ac:dyDescent="0.35">
      <c r="A10" s="1" t="s">
        <v>23</v>
      </c>
      <c r="B10" s="2">
        <v>46031</v>
      </c>
      <c r="C10" s="1" t="s">
        <v>9</v>
      </c>
      <c r="D10" s="1" t="s">
        <v>16</v>
      </c>
      <c r="E10" s="1">
        <v>170</v>
      </c>
      <c r="F10" s="7">
        <v>10</v>
      </c>
      <c r="G10" s="7">
        <v>450</v>
      </c>
      <c r="H10" s="1">
        <v>4</v>
      </c>
      <c r="I10" s="7">
        <v>1700</v>
      </c>
      <c r="J10" s="7">
        <v>2150</v>
      </c>
      <c r="K10" s="7">
        <v>12.647058823529411</v>
      </c>
      <c r="L10" s="1" t="s">
        <v>53</v>
      </c>
      <c r="M10" s="5">
        <v>74.705882352941174</v>
      </c>
    </row>
    <row r="11" spans="1:13" x14ac:dyDescent="0.35">
      <c r="A11" s="1" t="s">
        <v>24</v>
      </c>
      <c r="B11" s="2">
        <v>46032</v>
      </c>
      <c r="C11" s="1" t="s">
        <v>12</v>
      </c>
      <c r="D11" s="1" t="s">
        <v>10</v>
      </c>
      <c r="E11" s="1">
        <v>130</v>
      </c>
      <c r="F11" s="7">
        <v>15</v>
      </c>
      <c r="G11" s="7">
        <v>300</v>
      </c>
      <c r="H11" s="1">
        <v>3</v>
      </c>
      <c r="I11" s="7">
        <v>1950</v>
      </c>
      <c r="J11" s="7">
        <v>2250</v>
      </c>
      <c r="K11" s="7">
        <v>17.307692307692307</v>
      </c>
      <c r="L11" s="1" t="s">
        <v>53</v>
      </c>
      <c r="M11" s="5">
        <v>65.384615384615387</v>
      </c>
    </row>
    <row r="12" spans="1:13" x14ac:dyDescent="0.35">
      <c r="A12" s="1" t="s">
        <v>25</v>
      </c>
      <c r="B12" s="2">
        <v>46033</v>
      </c>
      <c r="C12" s="1" t="s">
        <v>15</v>
      </c>
      <c r="D12" s="1" t="s">
        <v>13</v>
      </c>
      <c r="E12" s="1">
        <v>75</v>
      </c>
      <c r="F12" s="7">
        <v>20</v>
      </c>
      <c r="G12" s="7">
        <v>210</v>
      </c>
      <c r="H12" s="1">
        <v>6</v>
      </c>
      <c r="I12" s="7">
        <v>1500</v>
      </c>
      <c r="J12" s="7">
        <v>1710</v>
      </c>
      <c r="K12" s="7">
        <v>22.8</v>
      </c>
      <c r="L12" s="1" t="s">
        <v>54</v>
      </c>
      <c r="M12" s="5">
        <v>24.4</v>
      </c>
    </row>
    <row r="13" spans="1:13" x14ac:dyDescent="0.35">
      <c r="A13" s="1" t="s">
        <v>26</v>
      </c>
      <c r="B13" s="2">
        <v>46034</v>
      </c>
      <c r="C13" s="1" t="s">
        <v>18</v>
      </c>
      <c r="D13" s="1" t="s">
        <v>16</v>
      </c>
      <c r="E13" s="1">
        <v>160</v>
      </c>
      <c r="F13" s="7">
        <v>10</v>
      </c>
      <c r="G13" s="7">
        <v>420</v>
      </c>
      <c r="H13" s="1">
        <v>2</v>
      </c>
      <c r="I13" s="7">
        <v>1600</v>
      </c>
      <c r="J13" s="7">
        <v>2020</v>
      </c>
      <c r="K13" s="7">
        <v>12.625</v>
      </c>
      <c r="L13" s="1" t="s">
        <v>53</v>
      </c>
      <c r="M13" s="5">
        <v>74.75</v>
      </c>
    </row>
    <row r="14" spans="1:13" x14ac:dyDescent="0.35">
      <c r="A14" s="1" t="s">
        <v>27</v>
      </c>
      <c r="B14" s="2">
        <v>46035</v>
      </c>
      <c r="C14" s="1" t="s">
        <v>9</v>
      </c>
      <c r="D14" s="1" t="s">
        <v>10</v>
      </c>
      <c r="E14" s="1">
        <v>180</v>
      </c>
      <c r="F14" s="7">
        <v>15</v>
      </c>
      <c r="G14" s="7">
        <v>480</v>
      </c>
      <c r="H14" s="1">
        <v>5</v>
      </c>
      <c r="I14" s="7">
        <v>2700</v>
      </c>
      <c r="J14" s="7">
        <v>3180</v>
      </c>
      <c r="K14" s="7">
        <v>17.666666666666668</v>
      </c>
      <c r="L14" s="1" t="s">
        <v>54</v>
      </c>
      <c r="M14" s="5">
        <v>34.666666666666664</v>
      </c>
    </row>
    <row r="15" spans="1:13" x14ac:dyDescent="0.35">
      <c r="A15" s="1" t="s">
        <v>28</v>
      </c>
      <c r="B15" s="2">
        <v>46036</v>
      </c>
      <c r="C15" s="1" t="s">
        <v>12</v>
      </c>
      <c r="D15" s="1" t="s">
        <v>13</v>
      </c>
      <c r="E15" s="1">
        <v>95</v>
      </c>
      <c r="F15" s="7">
        <v>20</v>
      </c>
      <c r="G15" s="7">
        <v>260</v>
      </c>
      <c r="H15" s="1">
        <v>4</v>
      </c>
      <c r="I15" s="7">
        <v>1900</v>
      </c>
      <c r="J15" s="7">
        <v>2160</v>
      </c>
      <c r="K15" s="7">
        <v>22.736842105263158</v>
      </c>
      <c r="L15" s="1" t="s">
        <v>53</v>
      </c>
      <c r="M15" s="5">
        <v>54.526315789473685</v>
      </c>
    </row>
    <row r="16" spans="1:13" x14ac:dyDescent="0.35">
      <c r="A16" s="1" t="s">
        <v>29</v>
      </c>
      <c r="B16" s="2">
        <v>46037</v>
      </c>
      <c r="C16" s="1" t="s">
        <v>15</v>
      </c>
      <c r="D16" s="1" t="s">
        <v>16</v>
      </c>
      <c r="E16" s="1">
        <v>155</v>
      </c>
      <c r="F16" s="7">
        <v>10</v>
      </c>
      <c r="G16" s="7">
        <v>390</v>
      </c>
      <c r="H16" s="1">
        <v>3</v>
      </c>
      <c r="I16" s="7">
        <v>1550</v>
      </c>
      <c r="J16" s="7">
        <v>1940</v>
      </c>
      <c r="K16" s="7">
        <v>12.516129032258064</v>
      </c>
      <c r="L16" s="1" t="s">
        <v>53</v>
      </c>
      <c r="M16" s="5">
        <v>74.967741935483872</v>
      </c>
    </row>
    <row r="17" spans="1:13" x14ac:dyDescent="0.35">
      <c r="A17" s="1" t="s">
        <v>30</v>
      </c>
      <c r="B17" s="2">
        <v>46038</v>
      </c>
      <c r="C17" s="1" t="s">
        <v>18</v>
      </c>
      <c r="D17" s="1" t="s">
        <v>10</v>
      </c>
      <c r="E17" s="1">
        <v>145</v>
      </c>
      <c r="F17" s="7">
        <v>15</v>
      </c>
      <c r="G17" s="7">
        <v>360</v>
      </c>
      <c r="H17" s="1">
        <v>6</v>
      </c>
      <c r="I17" s="7">
        <v>2175</v>
      </c>
      <c r="J17" s="7">
        <v>2535</v>
      </c>
      <c r="K17" s="7">
        <v>17.482758620689655</v>
      </c>
      <c r="L17" s="1" t="s">
        <v>54</v>
      </c>
      <c r="M17" s="5">
        <v>35.03448275862069</v>
      </c>
    </row>
    <row r="18" spans="1:13" x14ac:dyDescent="0.35">
      <c r="A18" s="1" t="s">
        <v>31</v>
      </c>
      <c r="B18" s="2">
        <v>46039</v>
      </c>
      <c r="C18" s="1" t="s">
        <v>9</v>
      </c>
      <c r="D18" s="1" t="s">
        <v>13</v>
      </c>
      <c r="E18" s="1">
        <v>85</v>
      </c>
      <c r="F18" s="7">
        <v>20</v>
      </c>
      <c r="G18" s="7">
        <v>240</v>
      </c>
      <c r="H18" s="1">
        <v>2</v>
      </c>
      <c r="I18" s="7">
        <v>1700</v>
      </c>
      <c r="J18" s="7">
        <v>1940</v>
      </c>
      <c r="K18" s="7">
        <v>22.823529411764707</v>
      </c>
      <c r="L18" s="1" t="s">
        <v>53</v>
      </c>
      <c r="M18" s="5">
        <v>54.352941176470587</v>
      </c>
    </row>
    <row r="19" spans="1:13" x14ac:dyDescent="0.35">
      <c r="A19" s="1" t="s">
        <v>32</v>
      </c>
      <c r="B19" s="2">
        <v>46040</v>
      </c>
      <c r="C19" s="1" t="s">
        <v>12</v>
      </c>
      <c r="D19" s="1" t="s">
        <v>16</v>
      </c>
      <c r="E19" s="1">
        <v>175</v>
      </c>
      <c r="F19" s="7">
        <v>10</v>
      </c>
      <c r="G19" s="7">
        <v>460</v>
      </c>
      <c r="H19" s="1">
        <v>5</v>
      </c>
      <c r="I19" s="7">
        <v>1750</v>
      </c>
      <c r="J19" s="7">
        <v>2210</v>
      </c>
      <c r="K19" s="7">
        <v>12.628571428571428</v>
      </c>
      <c r="L19" s="1" t="s">
        <v>54</v>
      </c>
      <c r="M19" s="5">
        <v>44.742857142857147</v>
      </c>
    </row>
    <row r="20" spans="1:13" x14ac:dyDescent="0.35">
      <c r="A20" s="1" t="s">
        <v>33</v>
      </c>
      <c r="B20" s="2">
        <v>46041</v>
      </c>
      <c r="C20" s="1" t="s">
        <v>15</v>
      </c>
      <c r="D20" s="1" t="s">
        <v>10</v>
      </c>
      <c r="E20" s="1">
        <v>125</v>
      </c>
      <c r="F20" s="7">
        <v>15</v>
      </c>
      <c r="G20" s="7">
        <v>310</v>
      </c>
      <c r="H20" s="1">
        <v>4</v>
      </c>
      <c r="I20" s="7">
        <v>1875</v>
      </c>
      <c r="J20" s="7">
        <v>2185</v>
      </c>
      <c r="K20" s="7">
        <v>17.48</v>
      </c>
      <c r="L20" s="1" t="s">
        <v>53</v>
      </c>
      <c r="M20" s="5">
        <v>65.039999999999992</v>
      </c>
    </row>
    <row r="21" spans="1:13" x14ac:dyDescent="0.35">
      <c r="A21" s="1" t="s">
        <v>34</v>
      </c>
      <c r="B21" s="2">
        <v>46042</v>
      </c>
      <c r="C21" s="1" t="s">
        <v>18</v>
      </c>
      <c r="D21" s="1" t="s">
        <v>13</v>
      </c>
      <c r="E21" s="1">
        <v>70</v>
      </c>
      <c r="F21" s="7">
        <v>20</v>
      </c>
      <c r="G21" s="7">
        <v>220</v>
      </c>
      <c r="H21" s="1">
        <v>3</v>
      </c>
      <c r="I21" s="7">
        <v>1400</v>
      </c>
      <c r="J21" s="7">
        <v>1620</v>
      </c>
      <c r="K21" s="7">
        <v>23.142857142857142</v>
      </c>
      <c r="L21" s="1" t="s">
        <v>53</v>
      </c>
      <c r="M21" s="5">
        <v>53.714285714285715</v>
      </c>
    </row>
    <row r="22" spans="1:13" x14ac:dyDescent="0.35">
      <c r="A22" s="1" t="s">
        <v>35</v>
      </c>
      <c r="B22" s="2">
        <v>46043</v>
      </c>
      <c r="C22" s="1" t="s">
        <v>9</v>
      </c>
      <c r="D22" s="1" t="s">
        <v>16</v>
      </c>
      <c r="E22" s="1">
        <v>165</v>
      </c>
      <c r="F22" s="7">
        <v>10</v>
      </c>
      <c r="G22" s="7">
        <v>430</v>
      </c>
      <c r="H22" s="1">
        <v>6</v>
      </c>
      <c r="I22" s="7">
        <v>1650</v>
      </c>
      <c r="J22" s="7">
        <v>2080</v>
      </c>
      <c r="K22" s="7">
        <v>12.606060606060606</v>
      </c>
      <c r="L22" s="1" t="s">
        <v>54</v>
      </c>
      <c r="M22" s="5">
        <v>44.787878787878789</v>
      </c>
    </row>
    <row r="23" spans="1:13" x14ac:dyDescent="0.35">
      <c r="A23" s="1" t="s">
        <v>36</v>
      </c>
      <c r="B23" s="2">
        <v>46044</v>
      </c>
      <c r="C23" s="1" t="s">
        <v>12</v>
      </c>
      <c r="D23" s="1" t="s">
        <v>10</v>
      </c>
      <c r="E23" s="1">
        <v>135</v>
      </c>
      <c r="F23" s="7">
        <v>15</v>
      </c>
      <c r="G23" s="7">
        <v>340</v>
      </c>
      <c r="H23" s="1">
        <v>2</v>
      </c>
      <c r="I23" s="7">
        <v>2025</v>
      </c>
      <c r="J23" s="7">
        <v>2365</v>
      </c>
      <c r="K23" s="7">
        <v>17.518518518518519</v>
      </c>
      <c r="L23" s="1" t="s">
        <v>53</v>
      </c>
      <c r="M23" s="5">
        <v>64.962962962962962</v>
      </c>
    </row>
    <row r="24" spans="1:13" x14ac:dyDescent="0.35">
      <c r="A24" s="1" t="s">
        <v>37</v>
      </c>
      <c r="B24" s="2">
        <v>46045</v>
      </c>
      <c r="C24" s="1" t="s">
        <v>15</v>
      </c>
      <c r="D24" s="1" t="s">
        <v>13</v>
      </c>
      <c r="E24" s="1">
        <v>100</v>
      </c>
      <c r="F24" s="7">
        <v>20</v>
      </c>
      <c r="G24" s="7">
        <v>280</v>
      </c>
      <c r="H24" s="1">
        <v>5</v>
      </c>
      <c r="I24" s="7">
        <v>2000</v>
      </c>
      <c r="J24" s="7">
        <v>2280</v>
      </c>
      <c r="K24" s="7">
        <v>22.8</v>
      </c>
      <c r="L24" s="1" t="s">
        <v>54</v>
      </c>
      <c r="M24" s="5">
        <v>24.4</v>
      </c>
    </row>
    <row r="25" spans="1:13" x14ac:dyDescent="0.35">
      <c r="A25" s="1" t="s">
        <v>38</v>
      </c>
      <c r="B25" s="2">
        <v>46046</v>
      </c>
      <c r="C25" s="1" t="s">
        <v>18</v>
      </c>
      <c r="D25" s="1" t="s">
        <v>16</v>
      </c>
      <c r="E25" s="1">
        <v>150</v>
      </c>
      <c r="F25" s="7">
        <v>10</v>
      </c>
      <c r="G25" s="7">
        <v>410</v>
      </c>
      <c r="H25" s="1">
        <v>4</v>
      </c>
      <c r="I25" s="7">
        <v>1500</v>
      </c>
      <c r="J25" s="7">
        <v>1910</v>
      </c>
      <c r="K25" s="7">
        <v>12.733333333333333</v>
      </c>
      <c r="L25" s="1" t="s">
        <v>53</v>
      </c>
      <c r="M25" s="5">
        <v>74.533333333333331</v>
      </c>
    </row>
    <row r="26" spans="1:13" x14ac:dyDescent="0.35">
      <c r="A26" s="1" t="s">
        <v>39</v>
      </c>
      <c r="B26" s="2">
        <v>46047</v>
      </c>
      <c r="C26" s="1" t="s">
        <v>9</v>
      </c>
      <c r="D26" s="1" t="s">
        <v>10</v>
      </c>
      <c r="E26" s="1">
        <v>190</v>
      </c>
      <c r="F26" s="7">
        <v>15</v>
      </c>
      <c r="G26" s="7">
        <v>500</v>
      </c>
      <c r="H26" s="1">
        <v>3</v>
      </c>
      <c r="I26" s="7">
        <v>2850</v>
      </c>
      <c r="J26" s="7">
        <v>3350</v>
      </c>
      <c r="K26" s="7">
        <v>17.631578947368421</v>
      </c>
      <c r="L26" s="1" t="s">
        <v>53</v>
      </c>
      <c r="M26" s="5">
        <v>64.73684210526315</v>
      </c>
    </row>
    <row r="27" spans="1:13" x14ac:dyDescent="0.35">
      <c r="A27" s="1" t="s">
        <v>40</v>
      </c>
      <c r="B27" s="2">
        <v>46048</v>
      </c>
      <c r="C27" s="1" t="s">
        <v>12</v>
      </c>
      <c r="D27" s="1" t="s">
        <v>13</v>
      </c>
      <c r="E27" s="1">
        <v>105</v>
      </c>
      <c r="F27" s="7">
        <v>20</v>
      </c>
      <c r="G27" s="7">
        <v>290</v>
      </c>
      <c r="H27" s="1">
        <v>6</v>
      </c>
      <c r="I27" s="7">
        <v>2100</v>
      </c>
      <c r="J27" s="7">
        <v>2390</v>
      </c>
      <c r="K27" s="7">
        <v>22.761904761904763</v>
      </c>
      <c r="L27" s="1" t="s">
        <v>54</v>
      </c>
      <c r="M27" s="5">
        <v>24.476190476190474</v>
      </c>
    </row>
    <row r="28" spans="1:13" x14ac:dyDescent="0.35">
      <c r="A28" s="1" t="s">
        <v>41</v>
      </c>
      <c r="B28" s="2">
        <v>46049</v>
      </c>
      <c r="C28" s="1" t="s">
        <v>15</v>
      </c>
      <c r="D28" s="1" t="s">
        <v>16</v>
      </c>
      <c r="E28" s="1">
        <v>160</v>
      </c>
      <c r="F28" s="7">
        <v>10</v>
      </c>
      <c r="G28" s="7">
        <v>420</v>
      </c>
      <c r="H28" s="1">
        <v>2</v>
      </c>
      <c r="I28" s="7">
        <v>1600</v>
      </c>
      <c r="J28" s="7">
        <v>2020</v>
      </c>
      <c r="K28" s="7">
        <v>12.625</v>
      </c>
      <c r="L28" s="1" t="s">
        <v>53</v>
      </c>
      <c r="M28" s="5">
        <v>74.75</v>
      </c>
    </row>
    <row r="29" spans="1:13" x14ac:dyDescent="0.35">
      <c r="A29" s="1" t="s">
        <v>42</v>
      </c>
      <c r="B29" s="2">
        <v>46050</v>
      </c>
      <c r="C29" s="1" t="s">
        <v>18</v>
      </c>
      <c r="D29" s="1" t="s">
        <v>10</v>
      </c>
      <c r="E29" s="1">
        <v>155</v>
      </c>
      <c r="F29" s="7">
        <v>15</v>
      </c>
      <c r="G29" s="7">
        <v>370</v>
      </c>
      <c r="H29" s="1">
        <v>5</v>
      </c>
      <c r="I29" s="7">
        <v>2325</v>
      </c>
      <c r="J29" s="7">
        <v>2695</v>
      </c>
      <c r="K29" s="7">
        <v>17.387096774193548</v>
      </c>
      <c r="L29" s="1" t="s">
        <v>54</v>
      </c>
      <c r="M29" s="5">
        <v>35.225806451612904</v>
      </c>
    </row>
    <row r="30" spans="1:13" x14ac:dyDescent="0.35">
      <c r="A30" s="1" t="s">
        <v>43</v>
      </c>
      <c r="B30" s="2">
        <v>46051</v>
      </c>
      <c r="C30" s="1" t="s">
        <v>9</v>
      </c>
      <c r="D30" s="1" t="s">
        <v>13</v>
      </c>
      <c r="E30" s="1">
        <v>95</v>
      </c>
      <c r="F30" s="7">
        <v>20</v>
      </c>
      <c r="G30" s="7">
        <v>260</v>
      </c>
      <c r="H30" s="1">
        <v>4</v>
      </c>
      <c r="I30" s="7">
        <v>1900</v>
      </c>
      <c r="J30" s="7">
        <v>2160</v>
      </c>
      <c r="K30" s="7">
        <v>22.736842105263158</v>
      </c>
      <c r="L30" s="1" t="s">
        <v>53</v>
      </c>
      <c r="M30" s="5">
        <v>54.526315789473685</v>
      </c>
    </row>
    <row r="31" spans="1:13" x14ac:dyDescent="0.35">
      <c r="A31" s="1" t="s">
        <v>44</v>
      </c>
      <c r="B31" s="2">
        <v>46052</v>
      </c>
      <c r="C31" s="1" t="s">
        <v>12</v>
      </c>
      <c r="D31" s="1" t="s">
        <v>16</v>
      </c>
      <c r="E31" s="1">
        <v>180</v>
      </c>
      <c r="F31" s="7">
        <v>10</v>
      </c>
      <c r="G31" s="7">
        <v>470</v>
      </c>
      <c r="H31" s="1">
        <v>3</v>
      </c>
      <c r="I31" s="7">
        <v>1800</v>
      </c>
      <c r="J31" s="7">
        <v>2270</v>
      </c>
      <c r="K31" s="7">
        <v>12.611111111111111</v>
      </c>
      <c r="L31" s="1" t="s">
        <v>53</v>
      </c>
      <c r="M31" s="5">
        <v>74.777777777777771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D75C7-F2BF-4F1F-B4B8-C02E263D86DE}">
  <sheetPr codeName="Sheet3"/>
  <dimension ref="A1:F48"/>
  <sheetViews>
    <sheetView tabSelected="1" zoomScale="55" zoomScaleNormal="55" workbookViewId="0">
      <selection activeCell="D18" activeCellId="1" sqref="A18 D18"/>
    </sheetView>
  </sheetViews>
  <sheetFormatPr defaultRowHeight="14.5" x14ac:dyDescent="0.35"/>
  <cols>
    <col min="1" max="1" width="32.7265625" customWidth="1"/>
    <col min="2" max="2" width="18.1796875" customWidth="1"/>
    <col min="3" max="3" width="21.81640625" customWidth="1"/>
    <col min="4" max="4" width="18.1796875" customWidth="1"/>
    <col min="5" max="5" width="21.81640625" customWidth="1"/>
    <col min="6" max="6" width="23.6328125" customWidth="1"/>
  </cols>
  <sheetData>
    <row r="1" spans="1:6" ht="21" x14ac:dyDescent="0.5">
      <c r="A1" s="19" t="s">
        <v>55</v>
      </c>
    </row>
    <row r="3" spans="1:6" ht="16" x14ac:dyDescent="0.4">
      <c r="A3" s="20" t="s">
        <v>56</v>
      </c>
      <c r="B3" s="20"/>
      <c r="C3" s="20"/>
    </row>
    <row r="4" spans="1:6" x14ac:dyDescent="0.35">
      <c r="A4" s="21" t="s">
        <v>57</v>
      </c>
      <c r="B4" s="21" t="s">
        <v>58</v>
      </c>
      <c r="C4" s="21" t="s">
        <v>59</v>
      </c>
    </row>
    <row r="5" spans="1:6" x14ac:dyDescent="0.35">
      <c r="A5" t="s">
        <v>60</v>
      </c>
      <c r="B5" s="33">
        <f>COUNTA(Sheet3!A2:A31)</f>
        <v>30</v>
      </c>
    </row>
    <row r="6" spans="1:6" x14ac:dyDescent="0.35">
      <c r="A6" t="s">
        <v>61</v>
      </c>
      <c r="B6" s="35">
        <f>SUM(Sheet3!J2:J31)</f>
        <v>66110</v>
      </c>
    </row>
    <row r="7" spans="1:6" x14ac:dyDescent="0.35">
      <c r="A7" t="s">
        <v>62</v>
      </c>
      <c r="B7" s="36">
        <f>AVERAGE(Sheet3!M2:M31)</f>
        <v>53.61315715959087</v>
      </c>
    </row>
    <row r="8" spans="1:6" x14ac:dyDescent="0.35">
      <c r="A8" t="s">
        <v>63</v>
      </c>
      <c r="B8" s="4">
        <f>COUNTIF(Sheet3!L2:L31,"On Time")/COUNTA(Sheet3!L2:L31)*100</f>
        <v>63.333333333333329</v>
      </c>
    </row>
    <row r="9" spans="1:6" x14ac:dyDescent="0.35">
      <c r="A9" t="s">
        <v>52</v>
      </c>
      <c r="B9" s="4">
        <f>COUNTIF(Sheet3!L2:L31,"Delayed")</f>
        <v>11</v>
      </c>
    </row>
    <row r="10" spans="1:6" x14ac:dyDescent="0.35">
      <c r="A10" t="s">
        <v>64</v>
      </c>
      <c r="B10" s="3">
        <f>AVERAGE(Sheet3!H2:H31)</f>
        <v>3.9</v>
      </c>
    </row>
    <row r="11" spans="1:6" x14ac:dyDescent="0.35">
      <c r="A11" t="s">
        <v>65</v>
      </c>
      <c r="B11" s="4">
        <f>AVERAGE(Sheet3!K2:K31)</f>
        <v>17.693421420204565</v>
      </c>
    </row>
    <row r="12" spans="1:6" x14ac:dyDescent="0.35">
      <c r="B12" s="34"/>
    </row>
    <row r="13" spans="1:6" ht="16" x14ac:dyDescent="0.4">
      <c r="A13" s="22" t="s">
        <v>66</v>
      </c>
      <c r="B13" s="22"/>
      <c r="C13" s="22"/>
      <c r="D13" s="22"/>
      <c r="E13" s="22"/>
      <c r="F13" s="22"/>
    </row>
    <row r="14" spans="1:6" x14ac:dyDescent="0.35">
      <c r="A14" s="23" t="s">
        <v>2</v>
      </c>
      <c r="B14" s="23" t="s">
        <v>67</v>
      </c>
      <c r="C14" s="23" t="s">
        <v>68</v>
      </c>
      <c r="D14" s="23" t="s">
        <v>69</v>
      </c>
      <c r="E14" s="23" t="s">
        <v>70</v>
      </c>
      <c r="F14" s="23" t="s">
        <v>71</v>
      </c>
    </row>
    <row r="15" spans="1:6" x14ac:dyDescent="0.35">
      <c r="A15" t="s">
        <v>9</v>
      </c>
      <c r="B15">
        <f>COUNTIF(Sheet3!C2:C31,"North")</f>
        <v>8</v>
      </c>
      <c r="C15">
        <f>COUNTIFS(Sheet3!C2:C31,"North",Sheet3!L2:L31,"Delayed")</f>
        <v>2</v>
      </c>
      <c r="D15" s="4">
        <f>C15/B15*100</f>
        <v>25</v>
      </c>
      <c r="E15" s="4">
        <f>AVERAGEIF(Sheet3!C2:C31,"North",Sheet3!M2:M31)</f>
        <v>55.847065859836754</v>
      </c>
      <c r="F15" s="4">
        <f>AVERAGEIF(Sheet3!C2:C31,"North",Sheet3!H2:H31)</f>
        <v>3.875</v>
      </c>
    </row>
    <row r="16" spans="1:6" x14ac:dyDescent="0.35">
      <c r="A16" t="s">
        <v>12</v>
      </c>
      <c r="B16">
        <f>COUNTIF(Sheet3!C2:C31,"South")</f>
        <v>8</v>
      </c>
      <c r="C16">
        <f>COUNTIFS(Sheet3!C2:C31,"South",Sheet3!L2:L31,"Delayed")</f>
        <v>3</v>
      </c>
      <c r="D16" s="4">
        <f>C16/B16*100</f>
        <v>37.5</v>
      </c>
      <c r="E16" s="4">
        <f>AVERAGEIF(Sheet3!C2:C31,"South",Sheet3!M2:M31)</f>
        <v>53.350317214461946</v>
      </c>
      <c r="F16" s="4">
        <f>AVERAGEIF(Sheet3!C2:C31,"South",Sheet3!H2:H31)</f>
        <v>3.875</v>
      </c>
    </row>
    <row r="17" spans="1:6" x14ac:dyDescent="0.35">
      <c r="A17" t="s">
        <v>15</v>
      </c>
      <c r="B17">
        <f>COUNTIF(Sheet3!C2:C31,"East")</f>
        <v>7</v>
      </c>
      <c r="C17">
        <f>COUNTIFS(Sheet3!C2:C31,"East",Sheet3!L2:L31,"Delayed")</f>
        <v>2</v>
      </c>
      <c r="D17" s="4">
        <f>C17/B17*100</f>
        <v>28.571428571428569</v>
      </c>
      <c r="E17" s="4">
        <f>AVERAGEIF(Sheet3!C2:C31,"East",Sheet3!M2:M31)</f>
        <v>57.603486943164363</v>
      </c>
      <c r="F17" s="4">
        <f>AVERAGEIF(Sheet3!C2:C31,"East",Sheet3!H2:H31)</f>
        <v>3.4285714285714284</v>
      </c>
    </row>
    <row r="18" spans="1:6" x14ac:dyDescent="0.35">
      <c r="A18" t="s">
        <v>18</v>
      </c>
      <c r="B18">
        <f>COUNTIF(Sheet3!C2:C31,"West")</f>
        <v>7</v>
      </c>
      <c r="C18">
        <f>COUNTIFS(Sheet3!C2:C31,"West",Sheet3!L2:L31,"Delayed")</f>
        <v>4</v>
      </c>
      <c r="D18" s="4">
        <f>C18/B18*100</f>
        <v>57.142857142857139</v>
      </c>
      <c r="E18" s="4">
        <f>AVERAGEIF(Sheet3!C2:C31,"West",Sheet3!M2:M31)</f>
        <v>47.370177370169429</v>
      </c>
      <c r="F18" s="4">
        <f>AVERAGEIF(Sheet3!C2:C31,"West",Sheet3!H2:H31)</f>
        <v>4.4285714285714288</v>
      </c>
    </row>
    <row r="20" spans="1:6" ht="16" x14ac:dyDescent="0.4">
      <c r="A20" s="24" t="s">
        <v>72</v>
      </c>
      <c r="B20" s="24"/>
      <c r="C20" s="24"/>
      <c r="D20" s="24"/>
      <c r="E20" s="24"/>
      <c r="F20" s="24"/>
    </row>
    <row r="21" spans="1:6" x14ac:dyDescent="0.35">
      <c r="A21" s="25" t="s">
        <v>3</v>
      </c>
      <c r="B21" s="25" t="s">
        <v>67</v>
      </c>
      <c r="C21" s="25" t="s">
        <v>68</v>
      </c>
      <c r="D21" s="25" t="s">
        <v>69</v>
      </c>
      <c r="E21" s="25" t="s">
        <v>70</v>
      </c>
      <c r="F21" s="25" t="s">
        <v>73</v>
      </c>
    </row>
    <row r="22" spans="1:6" x14ac:dyDescent="0.35">
      <c r="A22" t="s">
        <v>10</v>
      </c>
      <c r="B22">
        <f>COUNTIF(Sheet3!D2:D31,"ItemA")</f>
        <v>10</v>
      </c>
      <c r="C22">
        <f>COUNTIFS(Sheet3!D2:D31,"ItemA",Sheet3!L2:L31,"Delayed")</f>
        <v>4</v>
      </c>
      <c r="D22" s="4">
        <f>C22/B22*100</f>
        <v>40</v>
      </c>
      <c r="E22" s="4">
        <f>AVERAGEIF(Sheet3!D2:D31,"ItemA",Sheet3!M2:M31)</f>
        <v>53.005137632974176</v>
      </c>
      <c r="F22" s="34">
        <f>AVERAGEIF(Sheet3!D2:D31,"ItemA",Sheet3!K2:K31)</f>
        <v>17.497431183512909</v>
      </c>
    </row>
    <row r="23" spans="1:6" x14ac:dyDescent="0.35">
      <c r="A23" t="s">
        <v>13</v>
      </c>
      <c r="B23">
        <f>COUNTIF(Sheet3!D2:D31,"ItemB")</f>
        <v>10</v>
      </c>
      <c r="C23">
        <f>COUNTIFS(Sheet3!D2:D31,"ItemB",Sheet3!L2:L31,"Delayed")</f>
        <v>5</v>
      </c>
      <c r="D23" s="4">
        <f>C23/B23*100</f>
        <v>50</v>
      </c>
      <c r="E23" s="4">
        <f>AVERAGEIF(Sheet3!D2:D31,"ItemB",Sheet3!M2:M31)</f>
        <v>39.147938227922751</v>
      </c>
      <c r="F23" s="34">
        <f>AVERAGEIF(Sheet3!D2:D31,"ItemB",Sheet3!K2:K31)</f>
        <v>22.926030886038625</v>
      </c>
    </row>
    <row r="24" spans="1:6" x14ac:dyDescent="0.35">
      <c r="A24" t="s">
        <v>16</v>
      </c>
      <c r="B24">
        <f>COUNTIF(Sheet3!D2:D31,"ItemC")</f>
        <v>10</v>
      </c>
      <c r="C24">
        <f>COUNTIFS(Sheet3!D2:D31,"ItemC",Sheet3!L2:L31,"Delayed")</f>
        <v>2</v>
      </c>
      <c r="D24" s="4">
        <f>C24/B24*100</f>
        <v>20</v>
      </c>
      <c r="E24" s="4">
        <f>AVERAGEIF(Sheet3!D2:D31,"ItemC",Sheet3!M2:M31)</f>
        <v>68.686395617875704</v>
      </c>
      <c r="F24" s="34">
        <f>AVERAGEIF(Sheet3!D2:D31,"ItemC",Sheet3!K2:K31)</f>
        <v>12.656802191062154</v>
      </c>
    </row>
    <row r="26" spans="1:6" ht="16" x14ac:dyDescent="0.4">
      <c r="A26" s="26" t="s">
        <v>74</v>
      </c>
      <c r="B26" s="26"/>
      <c r="C26" s="26"/>
      <c r="D26" s="26"/>
      <c r="E26" s="26"/>
      <c r="F26" s="26"/>
    </row>
    <row r="27" spans="1:6" x14ac:dyDescent="0.35">
      <c r="A27" s="27" t="s">
        <v>75</v>
      </c>
      <c r="B27" s="27" t="s">
        <v>76</v>
      </c>
      <c r="C27" s="27" t="s">
        <v>2</v>
      </c>
      <c r="D27" s="27" t="s">
        <v>3</v>
      </c>
      <c r="E27" s="27" t="s">
        <v>49</v>
      </c>
      <c r="F27" s="27" t="s">
        <v>77</v>
      </c>
    </row>
    <row r="28" spans="1:6" x14ac:dyDescent="0.35">
      <c r="A28">
        <v>1</v>
      </c>
      <c r="B28" t="str">
        <f>INDEX(Sheet3!A2:A31,MATCH(SMALL(Sheet3!M2:M31,1),Sheet3!M2:M31,0))</f>
        <v>S008</v>
      </c>
      <c r="C28" t="str">
        <f>INDEX(Sheet3!C2:C31,MATCH(SMALL(Sheet3!M2:M31,1),Sheet3!M2:M31,0))</f>
        <v>West</v>
      </c>
      <c r="D28" t="str">
        <f>INDEX(Sheet3!D2:D31,MATCH(SMALL(Sheet3!M2:M31,1),Sheet3!M2:M31,0))</f>
        <v>ItemB</v>
      </c>
      <c r="E28" s="4">
        <f>SMALL(Sheet3!M2:M31,1)</f>
        <v>23.333333333333336</v>
      </c>
      <c r="F28" t="str">
        <f>INDEX(Sheet3!L2:L31,MATCH(SMALL(Sheet3!M2:M31,1),Sheet3!M2:M31,0))</f>
        <v>Delayed</v>
      </c>
    </row>
    <row r="29" spans="1:6" x14ac:dyDescent="0.35">
      <c r="A29">
        <v>2</v>
      </c>
      <c r="B29" t="str">
        <f>INDEX(Sheet3!A2:A31,MATCH(SMALL(Sheet3!M2:M31,2),Sheet3!M2:M31,0))</f>
        <v>S002</v>
      </c>
      <c r="C29" t="str">
        <f>INDEX(Sheet3!C2:C31,MATCH(SMALL(Sheet3!M2:M31,2),Sheet3!M2:M31,0))</f>
        <v>South</v>
      </c>
      <c r="D29" t="str">
        <f>INDEX(Sheet3!D2:D31,MATCH(SMALL(Sheet3!M2:M31,2),Sheet3!M2:M31,0))</f>
        <v>ItemB</v>
      </c>
      <c r="E29" s="4">
        <f>SMALL(Sheet3!M2:M31,2)</f>
        <v>23.75</v>
      </c>
      <c r="F29" t="str">
        <f>INDEX(Sheet3!L2:L31,MATCH(SMALL(Sheet3!M2:M31,2),Sheet3!M2:M31,0))</f>
        <v>Delayed</v>
      </c>
    </row>
    <row r="30" spans="1:6" x14ac:dyDescent="0.35">
      <c r="A30">
        <v>3</v>
      </c>
      <c r="B30" t="str">
        <f>INDEX(Sheet3!A2:A31,MATCH(SMALL(Sheet3!M2:M31,3),Sheet3!M2:M31,0))</f>
        <v>S011</v>
      </c>
      <c r="C30" t="str">
        <f>INDEX(Sheet3!C2:C31,MATCH(SMALL(Sheet3!M2:M31,3),Sheet3!M2:M31,0))</f>
        <v>East</v>
      </c>
      <c r="D30" t="str">
        <f>INDEX(Sheet3!D2:D31,MATCH(SMALL(Sheet3!M2:M31,3),Sheet3!M2:M31,0))</f>
        <v>ItemB</v>
      </c>
      <c r="E30" s="4">
        <f>SMALL(Sheet3!M2:M31,3)</f>
        <v>24.4</v>
      </c>
      <c r="F30" t="str">
        <f>INDEX(Sheet3!L2:L31,MATCH(SMALL(Sheet3!M2:M31,3),Sheet3!M2:M31,0))</f>
        <v>Delayed</v>
      </c>
    </row>
    <row r="31" spans="1:6" x14ac:dyDescent="0.35">
      <c r="A31">
        <v>4</v>
      </c>
      <c r="B31" t="str">
        <f>INDEX(Sheet3!A2:A31,MATCH(SMALL(Sheet3!M2:M31,4),Sheet3!M2:M31,0))</f>
        <v>S011</v>
      </c>
      <c r="C31" t="str">
        <f>INDEX(Sheet3!C2:C31,MATCH(SMALL(Sheet3!M2:M31,4),Sheet3!M2:M31,0))</f>
        <v>East</v>
      </c>
      <c r="D31" t="str">
        <f>INDEX(Sheet3!D2:D31,MATCH(SMALL(Sheet3!M2:M31,4),Sheet3!M2:M31,0))</f>
        <v>ItemB</v>
      </c>
      <c r="E31" s="4">
        <f>SMALL(Sheet3!M2:M31,4)</f>
        <v>24.4</v>
      </c>
      <c r="F31" t="str">
        <f>INDEX(Sheet3!L2:L31,MATCH(SMALL(Sheet3!M2:M31,4),Sheet3!M2:M31,0))</f>
        <v>Delayed</v>
      </c>
    </row>
    <row r="32" spans="1:6" x14ac:dyDescent="0.35">
      <c r="A32">
        <v>5</v>
      </c>
      <c r="B32" t="str">
        <f>INDEX(Sheet3!A2:A31,MATCH(SMALL(Sheet3!M2:M31,5),Sheet3!M2:M31,0))</f>
        <v>S026</v>
      </c>
      <c r="C32" t="str">
        <f>INDEX(Sheet3!C2:C31,MATCH(SMALL(Sheet3!M2:M31,5),Sheet3!M2:M31,0))</f>
        <v>South</v>
      </c>
      <c r="D32" t="str">
        <f>INDEX(Sheet3!D2:D31,MATCH(SMALL(Sheet3!M2:M31,5),Sheet3!M2:M31,0))</f>
        <v>ItemB</v>
      </c>
      <c r="E32" s="4">
        <f>SMALL(Sheet3!M2:M31,5)</f>
        <v>24.476190476190474</v>
      </c>
      <c r="F32" t="str">
        <f>INDEX(Sheet3!L2:L31,MATCH(SMALL(Sheet3!M2:M31,5),Sheet3!M2:M31,0))</f>
        <v>Delayed</v>
      </c>
    </row>
    <row r="34" spans="1:6" ht="16" x14ac:dyDescent="0.4">
      <c r="A34" s="28" t="s">
        <v>78</v>
      </c>
      <c r="B34" s="28"/>
      <c r="C34" s="28"/>
      <c r="D34" s="28"/>
      <c r="E34" s="28"/>
      <c r="F34" s="28"/>
    </row>
    <row r="35" spans="1:6" x14ac:dyDescent="0.35">
      <c r="A35" s="29" t="s">
        <v>79</v>
      </c>
      <c r="B35" s="29" t="s">
        <v>57</v>
      </c>
      <c r="C35" s="29" t="s">
        <v>80</v>
      </c>
      <c r="E35" s="30" t="s">
        <v>86</v>
      </c>
      <c r="F35" s="30"/>
    </row>
    <row r="36" spans="1:6" x14ac:dyDescent="0.35">
      <c r="A36" t="s">
        <v>81</v>
      </c>
      <c r="B36" t="str">
        <f>INDEX(A15:A18,MATCH(MAX(D15:D18),D15:D18,0))</f>
        <v>West</v>
      </c>
      <c r="C36" t="str">
        <f>TEXT(MAX(D15:D18),"0.0")&amp;"% delays"</f>
        <v>57.1% delays</v>
      </c>
      <c r="E36" t="s">
        <v>87</v>
      </c>
      <c r="F36">
        <f>COUNTIF(Sheet3!H2:H31,2)</f>
        <v>6</v>
      </c>
    </row>
    <row r="37" spans="1:6" x14ac:dyDescent="0.35">
      <c r="A37" t="s">
        <v>82</v>
      </c>
      <c r="B37" t="str">
        <f>INDEX(A15:A18,MATCH(MIN(E15:E18),E15:E18,0))</f>
        <v>West</v>
      </c>
      <c r="C37" t="str">
        <f>TEXT(MIN(E15:E18),"0.0")&amp;" avg score"</f>
        <v>47.4 avg score</v>
      </c>
      <c r="E37" t="s">
        <v>88</v>
      </c>
      <c r="F37">
        <f>COUNTIF(Sheet3!H2:H31,3)</f>
        <v>7</v>
      </c>
    </row>
    <row r="38" spans="1:6" x14ac:dyDescent="0.35">
      <c r="A38" t="s">
        <v>83</v>
      </c>
      <c r="B38" t="str">
        <f>INDEX(A22:A24,MATCH(MAX(F22:F24),F22:F24,0))</f>
        <v>ItemB</v>
      </c>
      <c r="C38" t="str">
        <f>"₹"&amp;TEXT(MAX(F22:F24),"0.00")&amp;" per unit"</f>
        <v>₹22.93 per unit</v>
      </c>
      <c r="E38" t="s">
        <v>89</v>
      </c>
      <c r="F38">
        <f>COUNTIF(Sheet3!H2:H31,4)</f>
        <v>6</v>
      </c>
    </row>
    <row r="39" spans="1:6" x14ac:dyDescent="0.35">
      <c r="A39" t="s">
        <v>84</v>
      </c>
      <c r="B39" t="str">
        <f>INDEX(A22:A24,MATCH(MAX(D22:D24),D22:D24,0))</f>
        <v>ItemB</v>
      </c>
      <c r="C39" t="str">
        <f>TEXT(MAX(D22:D24),"0.0")&amp;"% delayed"</f>
        <v>50.0% delayed</v>
      </c>
      <c r="E39" t="s">
        <v>90</v>
      </c>
      <c r="F39">
        <f>COUNTIF(Sheet3!H2:H31,5)</f>
        <v>6</v>
      </c>
    </row>
    <row r="40" spans="1:6" x14ac:dyDescent="0.35">
      <c r="A40" t="s">
        <v>85</v>
      </c>
      <c r="B40">
        <f>AVERAGEIF(Sheet3!H2:H31,"&gt;4",Sheet3!H2:H31)</f>
        <v>5.4545454545454541</v>
      </c>
      <c r="C40" t="str">
        <f>COUNTIF(Sheet3!H2:H31,"&gt;4")&amp;" shipments over 4 days"</f>
        <v>11 shipments over 4 days</v>
      </c>
      <c r="E40" t="s">
        <v>91</v>
      </c>
      <c r="F40">
        <f>COUNTIF(Sheet3!H2:H31,6)</f>
        <v>5</v>
      </c>
    </row>
    <row r="42" spans="1:6" ht="16" x14ac:dyDescent="0.4">
      <c r="A42" s="31" t="s">
        <v>92</v>
      </c>
      <c r="B42" s="31"/>
      <c r="C42" s="31"/>
    </row>
    <row r="43" spans="1:6" x14ac:dyDescent="0.35">
      <c r="A43" s="32" t="s">
        <v>93</v>
      </c>
      <c r="B43" s="32" t="s">
        <v>58</v>
      </c>
      <c r="C43" s="32" t="s">
        <v>94</v>
      </c>
    </row>
    <row r="44" spans="1:6" x14ac:dyDescent="0.35">
      <c r="A44" t="s">
        <v>95</v>
      </c>
      <c r="B44">
        <f>AVERAGEIF(Sheet3!L2:L31,"On Time",Sheet3!M2:M31)</f>
        <v>66.240921008977168</v>
      </c>
      <c r="C44" t="s">
        <v>96</v>
      </c>
    </row>
    <row r="45" spans="1:6" x14ac:dyDescent="0.35">
      <c r="A45" t="s">
        <v>97</v>
      </c>
      <c r="B45">
        <f>AVERAGEIF(Sheet3!L2:L31,"Delayed",Sheet3!M2:M31)</f>
        <v>31.80156505610546</v>
      </c>
      <c r="C45" t="s">
        <v>98</v>
      </c>
    </row>
    <row r="46" spans="1:6" x14ac:dyDescent="0.35">
      <c r="A46" t="s">
        <v>99</v>
      </c>
      <c r="B46">
        <f>B44-B45</f>
        <v>34.439355952871708</v>
      </c>
      <c r="C46" t="s">
        <v>100</v>
      </c>
    </row>
    <row r="47" spans="1:6" x14ac:dyDescent="0.35">
      <c r="A47" t="s">
        <v>101</v>
      </c>
      <c r="B47">
        <f>AVERAGEIF(Sheet3!L2:L31,"Delayed",Sheet3!G2:G31)</f>
        <v>348.18181818181819</v>
      </c>
      <c r="C47" t="s">
        <v>102</v>
      </c>
    </row>
    <row r="48" spans="1:6" x14ac:dyDescent="0.35">
      <c r="A48" t="s">
        <v>103</v>
      </c>
      <c r="B48">
        <f>AVERAGEIF(Sheet3!L2:L31,"On Time",Sheet3!G2:G31)</f>
        <v>348.94736842105266</v>
      </c>
      <c r="C48" t="s">
        <v>104</v>
      </c>
    </row>
  </sheetData>
  <mergeCells count="7">
    <mergeCell ref="A42:C42"/>
    <mergeCell ref="A3:C3"/>
    <mergeCell ref="A13:F13"/>
    <mergeCell ref="A20:F20"/>
    <mergeCell ref="A26:F26"/>
    <mergeCell ref="A34:F34"/>
    <mergeCell ref="E35:F3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4126D-D269-4C82-8D10-A3D04FEED998}">
  <sheetPr codeName="Sheet4"/>
  <dimension ref="A1:A88"/>
  <sheetViews>
    <sheetView topLeftCell="A22" workbookViewId="0">
      <selection activeCell="F38" sqref="F38"/>
    </sheetView>
  </sheetViews>
  <sheetFormatPr defaultRowHeight="14.5" x14ac:dyDescent="0.35"/>
  <sheetData>
    <row r="1" spans="1:1" x14ac:dyDescent="0.35">
      <c r="A1" t="s">
        <v>105</v>
      </c>
    </row>
    <row r="3" spans="1:1" x14ac:dyDescent="0.35">
      <c r="A3" t="s">
        <v>106</v>
      </c>
    </row>
    <row r="5" spans="1:1" x14ac:dyDescent="0.35">
      <c r="A5" t="s">
        <v>107</v>
      </c>
    </row>
    <row r="7" spans="1:1" x14ac:dyDescent="0.35">
      <c r="A7" t="s">
        <v>108</v>
      </c>
    </row>
    <row r="8" spans="1:1" x14ac:dyDescent="0.35">
      <c r="A8" t="s">
        <v>109</v>
      </c>
    </row>
    <row r="9" spans="1:1" x14ac:dyDescent="0.35">
      <c r="A9" t="s">
        <v>110</v>
      </c>
    </row>
    <row r="10" spans="1:1" x14ac:dyDescent="0.35">
      <c r="A10" t="s">
        <v>111</v>
      </c>
    </row>
    <row r="11" spans="1:1" x14ac:dyDescent="0.35">
      <c r="A11" t="s">
        <v>112</v>
      </c>
    </row>
    <row r="12" spans="1:1" x14ac:dyDescent="0.35">
      <c r="A12" t="s">
        <v>113</v>
      </c>
    </row>
    <row r="14" spans="1:1" x14ac:dyDescent="0.35">
      <c r="A14" t="s">
        <v>114</v>
      </c>
    </row>
    <row r="15" spans="1:1" x14ac:dyDescent="0.35">
      <c r="A15" t="e" cm="1">
        <f t="array" ref="A15">- Investigate carrier performance in West region</f>
        <v>#NAME?</v>
      </c>
    </row>
    <row r="16" spans="1:1" x14ac:dyDescent="0.35">
      <c r="A16" t="e" cm="1">
        <f t="array" ref="A16">- Consider switching logistics partners for West shipments</f>
        <v>#NAME?</v>
      </c>
    </row>
    <row r="17" spans="1:1" x14ac:dyDescent="0.35">
      <c r="A17" t="e" cm="1">
        <f t="array" ref="A17">- Evaluate warehouse positioning closer to West customers</f>
        <v>#NAME?</v>
      </c>
    </row>
    <row r="19" spans="1:1" x14ac:dyDescent="0.35">
      <c r="A19" t="s">
        <v>106</v>
      </c>
    </row>
    <row r="21" spans="1:1" x14ac:dyDescent="0.35">
      <c r="A21" t="s">
        <v>115</v>
      </c>
    </row>
    <row r="22" spans="1:1" x14ac:dyDescent="0.35">
      <c r="A22" t="s">
        <v>116</v>
      </c>
    </row>
    <row r="23" spans="1:1" x14ac:dyDescent="0.35">
      <c r="A23" t="s">
        <v>117</v>
      </c>
    </row>
    <row r="24" spans="1:1" x14ac:dyDescent="0.35">
      <c r="A24" t="s">
        <v>118</v>
      </c>
    </row>
    <row r="25" spans="1:1" x14ac:dyDescent="0.35">
      <c r="A25" t="s">
        <v>119</v>
      </c>
    </row>
    <row r="26" spans="1:1" x14ac:dyDescent="0.35">
      <c r="A26" t="s">
        <v>120</v>
      </c>
    </row>
    <row r="28" spans="1:1" x14ac:dyDescent="0.35">
      <c r="A28" t="s">
        <v>114</v>
      </c>
    </row>
    <row r="29" spans="1:1" x14ac:dyDescent="0.35">
      <c r="A29" t="s">
        <v>121</v>
      </c>
    </row>
    <row r="30" spans="1:1" x14ac:dyDescent="0.35">
      <c r="A30" t="e" cm="1">
        <f t="array" ref="A30">- Review ItemB packaging/handling requirements</f>
        <v>#NAME?</v>
      </c>
    </row>
    <row r="31" spans="1:1" x14ac:dyDescent="0.35">
      <c r="A31" t="s">
        <v>122</v>
      </c>
    </row>
    <row r="32" spans="1:1" x14ac:dyDescent="0.35">
      <c r="A32" t="s">
        <v>123</v>
      </c>
    </row>
    <row r="34" spans="1:1" x14ac:dyDescent="0.35">
      <c r="A34" t="s">
        <v>106</v>
      </c>
    </row>
    <row r="36" spans="1:1" x14ac:dyDescent="0.35">
      <c r="A36" t="s">
        <v>124</v>
      </c>
    </row>
    <row r="37" spans="1:1" x14ac:dyDescent="0.35">
      <c r="A37" t="s">
        <v>125</v>
      </c>
    </row>
    <row r="38" spans="1:1" x14ac:dyDescent="0.35">
      <c r="A38" t="s">
        <v>126</v>
      </c>
    </row>
    <row r="39" spans="1:1" x14ac:dyDescent="0.35">
      <c r="A39" t="s">
        <v>127</v>
      </c>
    </row>
    <row r="40" spans="1:1" x14ac:dyDescent="0.35">
      <c r="A40" t="s">
        <v>128</v>
      </c>
    </row>
    <row r="42" spans="1:1" x14ac:dyDescent="0.35">
      <c r="A42" t="s">
        <v>114</v>
      </c>
    </row>
    <row r="43" spans="1:1" x14ac:dyDescent="0.35">
      <c r="A43" t="s">
        <v>129</v>
      </c>
    </row>
    <row r="44" spans="1:1" x14ac:dyDescent="0.35">
      <c r="A44" t="s">
        <v>130</v>
      </c>
    </row>
    <row r="45" spans="1:1" x14ac:dyDescent="0.35">
      <c r="A45" t="e" cm="1">
        <f t="array" ref="A45">- Implement penalties for delayed deliveries in contracts</f>
        <v>#NAME?</v>
      </c>
    </row>
    <row r="47" spans="1:1" x14ac:dyDescent="0.35">
      <c r="A47" t="s">
        <v>106</v>
      </c>
    </row>
    <row r="49" spans="1:1" x14ac:dyDescent="0.35">
      <c r="A49" t="s">
        <v>131</v>
      </c>
    </row>
    <row r="50" spans="1:1" x14ac:dyDescent="0.35">
      <c r="A50" t="s">
        <v>132</v>
      </c>
    </row>
    <row r="51" spans="1:1" x14ac:dyDescent="0.35">
      <c r="A51" t="s">
        <v>133</v>
      </c>
    </row>
    <row r="52" spans="1:1" x14ac:dyDescent="0.35">
      <c r="A52" t="s">
        <v>134</v>
      </c>
    </row>
    <row r="54" spans="1:1" x14ac:dyDescent="0.35">
      <c r="A54" t="s">
        <v>114</v>
      </c>
    </row>
    <row r="55" spans="1:1" x14ac:dyDescent="0.35">
      <c r="A55" t="e" cm="1">
        <f t="array" ref="A55">- Batch smaller orders to increase shipment quantities</f>
        <v>#NAME?</v>
      </c>
    </row>
    <row r="56" spans="1:1" x14ac:dyDescent="0.35">
      <c r="A56" t="s">
        <v>135</v>
      </c>
    </row>
    <row r="57" spans="1:1" x14ac:dyDescent="0.35">
      <c r="A57" t="e" cm="1">
        <f t="array" ref="A57">- Schedule consolidated pickup windows by region</f>
        <v>#NAME?</v>
      </c>
    </row>
    <row r="59" spans="1:1" x14ac:dyDescent="0.35">
      <c r="A59" t="s">
        <v>106</v>
      </c>
    </row>
    <row r="61" spans="1:1" x14ac:dyDescent="0.35">
      <c r="A61" t="s">
        <v>136</v>
      </c>
    </row>
    <row r="63" spans="1:1" x14ac:dyDescent="0.35">
      <c r="A63" t="s">
        <v>137</v>
      </c>
    </row>
    <row r="64" spans="1:1" x14ac:dyDescent="0.35">
      <c r="A64" t="s">
        <v>138</v>
      </c>
    </row>
    <row r="65" spans="1:1" x14ac:dyDescent="0.35">
      <c r="A65" t="s">
        <v>139</v>
      </c>
    </row>
    <row r="66" spans="1:1" x14ac:dyDescent="0.35">
      <c r="A66" t="s">
        <v>140</v>
      </c>
    </row>
    <row r="67" spans="1:1" x14ac:dyDescent="0.35">
      <c r="A67" t="s">
        <v>141</v>
      </c>
    </row>
    <row r="68" spans="1:1" x14ac:dyDescent="0.35">
      <c r="A68" t="s">
        <v>142</v>
      </c>
    </row>
    <row r="70" spans="1:1" x14ac:dyDescent="0.35">
      <c r="A70" t="s">
        <v>106</v>
      </c>
    </row>
    <row r="72" spans="1:1" x14ac:dyDescent="0.35">
      <c r="A72" t="s">
        <v>143</v>
      </c>
    </row>
    <row r="74" spans="1:1" x14ac:dyDescent="0.35">
      <c r="A74" t="s">
        <v>144</v>
      </c>
    </row>
    <row r="75" spans="1:1" x14ac:dyDescent="0.35">
      <c r="A75" t="s">
        <v>145</v>
      </c>
    </row>
    <row r="76" spans="1:1" x14ac:dyDescent="0.35">
      <c r="A76" t="s">
        <v>146</v>
      </c>
    </row>
    <row r="77" spans="1:1" x14ac:dyDescent="0.35">
      <c r="A77" t="s">
        <v>147</v>
      </c>
    </row>
    <row r="78" spans="1:1" x14ac:dyDescent="0.35">
      <c r="A78" t="s">
        <v>148</v>
      </c>
    </row>
    <row r="79" spans="1:1" x14ac:dyDescent="0.35">
      <c r="A79" t="s">
        <v>149</v>
      </c>
    </row>
    <row r="81" spans="1:1" x14ac:dyDescent="0.35">
      <c r="A81" t="s">
        <v>106</v>
      </c>
    </row>
    <row r="83" spans="1:1" x14ac:dyDescent="0.35">
      <c r="A83" t="s">
        <v>150</v>
      </c>
    </row>
    <row r="84" spans="1:1" x14ac:dyDescent="0.35">
      <c r="A84" t="s">
        <v>151</v>
      </c>
    </row>
    <row r="85" spans="1:1" x14ac:dyDescent="0.35">
      <c r="A85" t="s">
        <v>152</v>
      </c>
    </row>
    <row r="86" spans="1:1" x14ac:dyDescent="0.35">
      <c r="A86" t="s">
        <v>153</v>
      </c>
    </row>
    <row r="88" spans="1:1" x14ac:dyDescent="0.35">
      <c r="A88" t="s">
        <v>154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8F1A0-C134-4694-8BAE-D39C25F2F9CE}">
  <sheetPr codeName="Sheet5"/>
  <dimension ref="A1:C9"/>
  <sheetViews>
    <sheetView workbookViewId="0">
      <selection activeCell="C15" sqref="C15"/>
    </sheetView>
  </sheetViews>
  <sheetFormatPr defaultRowHeight="14.5" x14ac:dyDescent="0.35"/>
  <cols>
    <col min="2" max="2" width="10.81640625" bestFit="1" customWidth="1"/>
    <col min="3" max="3" width="15.453125" bestFit="1" customWidth="1"/>
  </cols>
  <sheetData>
    <row r="1" spans="1:3" x14ac:dyDescent="0.35">
      <c r="A1" t="s">
        <v>57</v>
      </c>
      <c r="B1" t="s">
        <v>155</v>
      </c>
      <c r="C1" t="s">
        <v>156</v>
      </c>
    </row>
    <row r="2" spans="1:3" x14ac:dyDescent="0.35">
      <c r="A2" t="s">
        <v>157</v>
      </c>
      <c r="B2" s="37">
        <v>0.57099999999999995</v>
      </c>
      <c r="C2" t="s">
        <v>158</v>
      </c>
    </row>
    <row r="3" spans="1:3" x14ac:dyDescent="0.35">
      <c r="A3" t="s">
        <v>70</v>
      </c>
      <c r="B3">
        <v>47.4</v>
      </c>
      <c r="C3" t="s">
        <v>159</v>
      </c>
    </row>
    <row r="4" spans="1:3" x14ac:dyDescent="0.35">
      <c r="A4" t="s">
        <v>71</v>
      </c>
      <c r="B4">
        <v>4.4000000000000004</v>
      </c>
      <c r="C4" t="s">
        <v>160</v>
      </c>
    </row>
    <row r="6" spans="1:3" x14ac:dyDescent="0.35">
      <c r="A6" t="s">
        <v>161</v>
      </c>
    </row>
    <row r="7" spans="1:3" x14ac:dyDescent="0.35">
      <c r="A7" t="s">
        <v>162</v>
      </c>
    </row>
    <row r="8" spans="1:3" x14ac:dyDescent="0.35">
      <c r="A8" t="s">
        <v>163</v>
      </c>
    </row>
    <row r="9" spans="1:3" x14ac:dyDescent="0.35">
      <c r="A9" t="s">
        <v>164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Sheet3</vt:lpstr>
      <vt:lpstr>Inefficiency Analysis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w</dc:creator>
  <cp:lastModifiedBy>Vinod w</cp:lastModifiedBy>
  <dcterms:created xsi:type="dcterms:W3CDTF">2026-04-29T16:39:48Z</dcterms:created>
  <dcterms:modified xsi:type="dcterms:W3CDTF">2026-04-29T20:45:35Z</dcterms:modified>
</cp:coreProperties>
</file>