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rawfiles on github\"/>
    </mc:Choice>
  </mc:AlternateContent>
  <xr:revisionPtr revIDLastSave="0" documentId="8_{DCB966F9-045D-41BA-84D3-8F91DABE4BAD}" xr6:coauthVersionLast="47" xr6:coauthVersionMax="47" xr10:uidLastSave="{00000000-0000-0000-0000-000000000000}"/>
  <bookViews>
    <workbookView xWindow="-110" yWindow="-110" windowWidth="19420" windowHeight="11500" activeTab="1" xr2:uid="{EA3DD960-ADA6-47E0-86D9-5B122A3A387C}"/>
  </bookViews>
  <sheets>
    <sheet name="Summary" sheetId="2" r:id="rId1"/>
    <sheet name="Expense Data" sheetId="1" r:id="rId2"/>
  </sheets>
  <calcPr calcId="191029"/>
  <pivotCaches>
    <pivotCache cacheId="0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8" i="2" l="1"/>
  <c r="C15" i="2"/>
  <c r="B15" i="2"/>
  <c r="C14" i="2"/>
  <c r="C13" i="2"/>
  <c r="C12" i="2"/>
  <c r="C11" i="2"/>
  <c r="C10" i="2"/>
  <c r="C9" i="2"/>
  <c r="C8" i="2"/>
  <c r="C7" i="2"/>
  <c r="C6" i="2"/>
  <c r="C5" i="2"/>
  <c r="B14" i="2"/>
  <c r="B13" i="2"/>
  <c r="B12" i="2"/>
  <c r="B11" i="2"/>
  <c r="B10" i="2"/>
  <c r="B9" i="2"/>
  <c r="B8" i="2"/>
  <c r="B7" i="2"/>
  <c r="B6" i="2"/>
  <c r="B5" i="2"/>
</calcChain>
</file>

<file path=xl/sharedStrings.xml><?xml version="1.0" encoding="utf-8"?>
<sst xmlns="http://schemas.openxmlformats.org/spreadsheetml/2006/main" count="71" uniqueCount="42">
  <si>
    <t>Date</t>
  </si>
  <si>
    <t>Category</t>
  </si>
  <si>
    <t>Description</t>
  </si>
  <si>
    <t>Payment Mode</t>
  </si>
  <si>
    <t>Amount</t>
  </si>
  <si>
    <t>Rent</t>
  </si>
  <si>
    <t>Monthly Rent</t>
  </si>
  <si>
    <t>UPI</t>
  </si>
  <si>
    <t>Food</t>
  </si>
  <si>
    <t>Restaurant</t>
  </si>
  <si>
    <t>Card</t>
  </si>
  <si>
    <t>Fuel</t>
  </si>
  <si>
    <t>Petrol</t>
  </si>
  <si>
    <t>Cash</t>
  </si>
  <si>
    <t>Shopping</t>
  </si>
  <si>
    <t>Amazon</t>
  </si>
  <si>
    <t>Medical</t>
  </si>
  <si>
    <t>Medicine</t>
  </si>
  <si>
    <t>Entertainment</t>
  </si>
  <si>
    <t>Netflix</t>
  </si>
  <si>
    <t>Travel</t>
  </si>
  <si>
    <t>Metro</t>
  </si>
  <si>
    <t>Electricity</t>
  </si>
  <si>
    <t>Bill</t>
  </si>
  <si>
    <t>Internet</t>
  </si>
  <si>
    <t>Broadband</t>
  </si>
  <si>
    <t>Grocery</t>
  </si>
  <si>
    <t>DMart</t>
  </si>
  <si>
    <t>Expense Summary</t>
  </si>
  <si>
    <t>Spending by category for the 10 transactions in Table2</t>
  </si>
  <si>
    <t>Share of Total</t>
  </si>
  <si>
    <t>Total Spending</t>
  </si>
  <si>
    <t>STORY IN BRIEF</t>
  </si>
  <si>
    <t>Row Labels</t>
  </si>
  <si>
    <t>Grand Total</t>
  </si>
  <si>
    <t>Sum of Amount</t>
  </si>
  <si>
    <t>MONEY-SAVING RECOMMENDATIONS</t>
  </si>
  <si>
    <t>Renegotiate rent or review a lower-cost housing option at renewal; even a 5% reduction would save ₹900 per month.</t>
  </si>
  <si>
    <t>Set a ₹2,500 monthly grocery cap and use a planned list; this targets up to ₹700 of the current ₹3,200 grocery spend.</t>
  </si>
  <si>
    <t>Review electricity, shopping, and subscription usage; a 10% cut across these categories would save about ₹565.</t>
  </si>
  <si>
    <t>Executive Summary</t>
  </si>
  <si>
    <t>Your current spending pattern shows a strong concentration in housing-related costs, with Rent alone accounting for ₹18,000, or 58.1% of total monthly spending of ₹30,998. The next largest categories are Grocery (₹3,200), Electricity (₹2,600), and Shopping (₹2,400), while the remaining categories are relatively modest. This indicates that reducing housing costs and tightening spending in discretionary categories would have the biggest impact on overall savings.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</si>
</sst>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₹#,##0"/>
    <numFmt numFmtId="165" formatCode="0.0%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3F8EF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rgb="FF1F4E78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6" fontId="0" fillId="0" borderId="0" xfId="0" applyNumberFormat="1"/>
    <xf numFmtId="0" fontId="2" fillId="3" borderId="0" xfId="0" applyFont="1" applyFill="1" applyAlignment="1">
      <alignment horizontal="center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4" borderId="1" xfId="0" applyFont="1" applyFill="1" applyBorder="1"/>
    <xf numFmtId="164" fontId="1" fillId="4" borderId="1" xfId="0" applyNumberFormat="1" applyFont="1" applyFill="1" applyBorder="1" applyAlignment="1">
      <alignment horizontal="right"/>
    </xf>
    <xf numFmtId="165" fontId="1" fillId="4" borderId="1" xfId="0" applyNumberFormat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vertical="center" wrapText="1"/>
    </xf>
    <xf numFmtId="0" fontId="6" fillId="2" borderId="0" xfId="0" applyFont="1" applyFill="1"/>
    <xf numFmtId="0" fontId="5" fillId="6" borderId="0" xfId="0" applyFont="1" applyFill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/>
    <xf numFmtId="0" fontId="2" fillId="5" borderId="0" xfId="0" applyFont="1" applyFill="1"/>
  </cellXfs>
  <cellStyles count="1">
    <cellStyle name="Normal" xfId="0" builtinId="0"/>
  </cellStyles>
  <dxfs count="1">
    <dxf>
      <numFmt numFmtId="21" formatCode="dd/mmm"/>
    </dxf>
  </dxfs>
  <tableStyles count="1" defaultTableStyle="TableStyleMedium2" defaultPivotStyle="PivotStyleLight16">
    <tableStyle name="Invisible" pivot="0" table="0" count="0" xr9:uid="{72BDC9B0-4FF7-400C-8867-02E3D56D4B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Data.xlsx]Expense Data!ExpensesByCategoryPivot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Data'!$U$1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'Expense Data'!$T$2:$T$12</c:f>
              <c:strCache>
                <c:ptCount val="10"/>
                <c:pt idx="0">
                  <c:v>Electricity</c:v>
                </c:pt>
                <c:pt idx="1">
                  <c:v>Entertainment</c:v>
                </c:pt>
                <c:pt idx="2">
                  <c:v>Food</c:v>
                </c:pt>
                <c:pt idx="3">
                  <c:v>Fuel</c:v>
                </c:pt>
                <c:pt idx="4">
                  <c:v>Grocery</c:v>
                </c:pt>
                <c:pt idx="5">
                  <c:v>Internet</c:v>
                </c:pt>
                <c:pt idx="6">
                  <c:v>Medical</c:v>
                </c:pt>
                <c:pt idx="7">
                  <c:v>Rent</c:v>
                </c:pt>
                <c:pt idx="8">
                  <c:v>Shopping</c:v>
                </c:pt>
                <c:pt idx="9">
                  <c:v>Travel</c:v>
                </c:pt>
              </c:strCache>
            </c:strRef>
          </c:cat>
          <c:val>
            <c:numRef>
              <c:f>'Expense Data'!$U$2:$U$12</c:f>
              <c:numCache>
                <c:formatCode>General</c:formatCode>
                <c:ptCount val="10"/>
                <c:pt idx="0">
                  <c:v>2600</c:v>
                </c:pt>
                <c:pt idx="1">
                  <c:v>649</c:v>
                </c:pt>
                <c:pt idx="2">
                  <c:v>650</c:v>
                </c:pt>
                <c:pt idx="3">
                  <c:v>1200</c:v>
                </c:pt>
                <c:pt idx="4">
                  <c:v>3200</c:v>
                </c:pt>
                <c:pt idx="5">
                  <c:v>999</c:v>
                </c:pt>
                <c:pt idx="6">
                  <c:v>980</c:v>
                </c:pt>
                <c:pt idx="7">
                  <c:v>18000</c:v>
                </c:pt>
                <c:pt idx="8">
                  <c:v>2400</c:v>
                </c:pt>
                <c:pt idx="9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3-4248-AD9B-9EE6F581E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6253136"/>
        <c:axId val="1534559855"/>
      </c:barChart>
      <c:catAx>
        <c:axId val="164625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559855"/>
        <c:crosses val="autoZero"/>
        <c:auto val="1"/>
        <c:lblAlgn val="ctr"/>
        <c:lblOffset val="100"/>
        <c:noMultiLvlLbl val="0"/>
      </c:catAx>
      <c:valAx>
        <c:axId val="153455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625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117475</xdr:colOff>
      <xdr:row>1</xdr:row>
      <xdr:rowOff>22224</xdr:rowOff>
    </xdr:from>
    <xdr:to>
      <xdr:col>30</xdr:col>
      <xdr:colOff>31750</xdr:colOff>
      <xdr:row>17</xdr:row>
      <xdr:rowOff>50799</xdr:rowOff>
    </xdr:to>
    <xdr:graphicFrame macro="">
      <xdr:nvGraphicFramePr>
        <xdr:cNvPr id="2" name="Expenses by Category">
          <a:extLst>
            <a:ext uri="{FF2B5EF4-FFF2-40B4-BE49-F238E27FC236}">
              <a16:creationId xmlns:a16="http://schemas.microsoft.com/office/drawing/2014/main" id="{0A7F1B47-4C4A-4E8F-0DE2-DAA458BFA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r Vinod W" refreshedDate="46240.952453240738" createdVersion="8" refreshedVersion="8" minRefreshableVersion="3" recordCount="10" xr:uid="{05EFB4DA-0A49-45A4-BFE9-DA54599C4DA0}">
  <cacheSource type="worksheet">
    <worksheetSource ref="N1:R11" sheet="Expense Data"/>
  </cacheSource>
  <cacheFields count="5">
    <cacheField name="Date" numFmtId="16">
      <sharedItems containsSemiMixedTypes="0" containsNonDate="0" containsDate="1" containsString="0" minDate="2026-07-01T00:00:00" maxDate="2026-07-11T00:00:00"/>
    </cacheField>
    <cacheField name="Category" numFmtId="0">
      <sharedItems count="10">
        <s v="Rent"/>
        <s v="Food"/>
        <s v="Fuel"/>
        <s v="Shopping"/>
        <s v="Medical"/>
        <s v="Entertainment"/>
        <s v="Travel"/>
        <s v="Electricity"/>
        <s v="Internet"/>
        <s v="Grocery"/>
      </sharedItems>
    </cacheField>
    <cacheField name="Description" numFmtId="0">
      <sharedItems/>
    </cacheField>
    <cacheField name="Payment Mode" numFmtId="0">
      <sharedItems/>
    </cacheField>
    <cacheField name="Amount" numFmtId="0">
      <sharedItems containsSemiMixedTypes="0" containsString="0" containsNumber="1" containsInteger="1" minValue="320" maxValue="1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7-01T00:00:00"/>
    <x v="0"/>
    <s v="Monthly Rent"/>
    <s v="UPI"/>
    <n v="18000"/>
  </r>
  <r>
    <d v="2026-07-02T00:00:00"/>
    <x v="1"/>
    <s v="Restaurant"/>
    <s v="Card"/>
    <n v="650"/>
  </r>
  <r>
    <d v="2026-07-03T00:00:00"/>
    <x v="2"/>
    <s v="Petrol"/>
    <s v="Cash"/>
    <n v="1200"/>
  </r>
  <r>
    <d v="2026-07-04T00:00:00"/>
    <x v="3"/>
    <s v="Amazon"/>
    <s v="Card"/>
    <n v="2400"/>
  </r>
  <r>
    <d v="2026-07-05T00:00:00"/>
    <x v="4"/>
    <s v="Medicine"/>
    <s v="UPI"/>
    <n v="980"/>
  </r>
  <r>
    <d v="2026-07-06T00:00:00"/>
    <x v="5"/>
    <s v="Netflix"/>
    <s v="Card"/>
    <n v="649"/>
  </r>
  <r>
    <d v="2026-07-07T00:00:00"/>
    <x v="6"/>
    <s v="Metro"/>
    <s v="Cash"/>
    <n v="320"/>
  </r>
  <r>
    <d v="2026-07-08T00:00:00"/>
    <x v="7"/>
    <s v="Bill"/>
    <s v="UPI"/>
    <n v="2600"/>
  </r>
  <r>
    <d v="2026-07-09T00:00:00"/>
    <x v="8"/>
    <s v="Broadband"/>
    <s v="UPI"/>
    <n v="999"/>
  </r>
  <r>
    <d v="2026-07-10T00:00:00"/>
    <x v="9"/>
    <s v="DMart"/>
    <s v="Card"/>
    <n v="3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BB2922-EA58-4641-A698-442E6426AEFE}" name="ExpensesByCategory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T1:U12" firstHeaderRow="1" firstDataRow="1" firstDataCol="1"/>
  <pivotFields count="5">
    <pivotField numFmtId="16" showAll="0"/>
    <pivotField axis="axisRow" showAll="0">
      <items count="11">
        <item x="7"/>
        <item x="5"/>
        <item x="1"/>
        <item x="2"/>
        <item x="9"/>
        <item x="8"/>
        <item x="4"/>
        <item x="0"/>
        <item x="3"/>
        <item x="6"/>
        <item t="default"/>
      </items>
    </pivotField>
    <pivotField showAll="0"/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AB8E34-1AE7-4E83-8150-DDEDC3028102}" name="Table2" displayName="Table2" ref="N1:R11" totalsRowShown="0">
  <autoFilter ref="N1:R11" xr:uid="{44AB8E34-1AE7-4E83-8150-DDEDC3028102}"/>
  <tableColumns count="5">
    <tableColumn id="1" xr3:uid="{0E44895A-48E5-4C9A-881E-9F6FE3811E8A}" name="Date" dataDxfId="0"/>
    <tableColumn id="2" xr3:uid="{17DB900D-EC35-4E30-B865-01538195F3A9}" name="Category"/>
    <tableColumn id="3" xr3:uid="{12D3A3FA-4F0D-4C86-944F-72FD6BAAEE49}" name="Description"/>
    <tableColumn id="4" xr3:uid="{40B52CC9-FE7E-42B3-B01D-00D79A3C23B3}" name="Payment Mode"/>
    <tableColumn id="5" xr3:uid="{CDE50EC9-2158-4414-A784-950396695859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6053-C9C5-4485-BE26-5498AC7BF58F}">
  <sheetPr codeName="Sheet1"/>
  <dimension ref="A1:C30"/>
  <sheetViews>
    <sheetView topLeftCell="A9" workbookViewId="0">
      <selection activeCell="D4" sqref="D4"/>
    </sheetView>
  </sheetViews>
  <sheetFormatPr defaultRowHeight="14.5" x14ac:dyDescent="0.35"/>
  <cols>
    <col min="1" max="1" width="8.1796875" customWidth="1"/>
    <col min="2" max="2" width="36.36328125" customWidth="1"/>
    <col min="3" max="3" width="18.1796875" customWidth="1"/>
  </cols>
  <sheetData>
    <row r="1" spans="1:3" ht="23.5" x14ac:dyDescent="0.35">
      <c r="A1" s="14" t="s">
        <v>28</v>
      </c>
      <c r="B1" s="14"/>
      <c r="C1" s="14"/>
    </row>
    <row r="2" spans="1:3" x14ac:dyDescent="0.35">
      <c r="A2" s="15" t="s">
        <v>29</v>
      </c>
      <c r="B2" s="15"/>
      <c r="C2" s="15"/>
    </row>
    <row r="4" spans="1:3" x14ac:dyDescent="0.35">
      <c r="A4" s="2" t="s">
        <v>1</v>
      </c>
      <c r="B4" s="2" t="s">
        <v>4</v>
      </c>
      <c r="C4" s="2" t="s">
        <v>30</v>
      </c>
    </row>
    <row r="5" spans="1:3" x14ac:dyDescent="0.35">
      <c r="A5" t="s">
        <v>5</v>
      </c>
      <c r="B5" s="3">
        <f>SUMIF(Table2[Category],A5,Table2[Amount])</f>
        <v>18000</v>
      </c>
      <c r="C5" s="4">
        <f>B5/SUM(Table2[Amount])</f>
        <v>0.58068262468546361</v>
      </c>
    </row>
    <row r="6" spans="1:3" x14ac:dyDescent="0.35">
      <c r="A6" t="s">
        <v>26</v>
      </c>
      <c r="B6" s="3">
        <f>SUMIF(Table2[Category],A6,Table2[Amount])</f>
        <v>3200</v>
      </c>
      <c r="C6" s="4">
        <f>B6/SUM(Table2[Amount])</f>
        <v>0.10323246661074909</v>
      </c>
    </row>
    <row r="7" spans="1:3" x14ac:dyDescent="0.35">
      <c r="A7" t="s">
        <v>22</v>
      </c>
      <c r="B7" s="3">
        <f>SUMIF(Table2[Category],A7,Table2[Amount])</f>
        <v>2600</v>
      </c>
      <c r="C7" s="4">
        <f>B7/SUM(Table2[Amount])</f>
        <v>8.3876379121233621E-2</v>
      </c>
    </row>
    <row r="8" spans="1:3" x14ac:dyDescent="0.35">
      <c r="A8" t="s">
        <v>14</v>
      </c>
      <c r="B8" s="3">
        <f>SUMIF(Table2[Category],A8,Table2[Amount])</f>
        <v>2400</v>
      </c>
      <c r="C8" s="4">
        <f>B8/SUM(Table2[Amount])</f>
        <v>7.7424349958061814E-2</v>
      </c>
    </row>
    <row r="9" spans="1:3" x14ac:dyDescent="0.35">
      <c r="A9" t="s">
        <v>11</v>
      </c>
      <c r="B9" s="3">
        <f>SUMIF(Table2[Category],A9,Table2[Amount])</f>
        <v>1200</v>
      </c>
      <c r="C9" s="4">
        <f>B9/SUM(Table2[Amount])</f>
        <v>3.8712174979030907E-2</v>
      </c>
    </row>
    <row r="10" spans="1:3" x14ac:dyDescent="0.35">
      <c r="A10" t="s">
        <v>24</v>
      </c>
      <c r="B10" s="3">
        <f>SUMIF(Table2[Category],A10,Table2[Amount])</f>
        <v>999</v>
      </c>
      <c r="C10" s="4">
        <f>B10/SUM(Table2[Amount])</f>
        <v>3.2227885670043227E-2</v>
      </c>
    </row>
    <row r="11" spans="1:3" x14ac:dyDescent="0.35">
      <c r="A11" t="s">
        <v>16</v>
      </c>
      <c r="B11" s="3">
        <f>SUMIF(Table2[Category],A11,Table2[Amount])</f>
        <v>980</v>
      </c>
      <c r="C11" s="4">
        <f>B11/SUM(Table2[Amount])</f>
        <v>3.1614942899541906E-2</v>
      </c>
    </row>
    <row r="12" spans="1:3" x14ac:dyDescent="0.35">
      <c r="A12" t="s">
        <v>8</v>
      </c>
      <c r="B12" s="3">
        <f>SUMIF(Table2[Category],A12,Table2[Amount])</f>
        <v>650</v>
      </c>
      <c r="C12" s="4">
        <f>B12/SUM(Table2[Amount])</f>
        <v>2.0969094780308405E-2</v>
      </c>
    </row>
    <row r="13" spans="1:3" x14ac:dyDescent="0.35">
      <c r="A13" t="s">
        <v>18</v>
      </c>
      <c r="B13" s="3">
        <f>SUMIF(Table2[Category],A13,Table2[Amount])</f>
        <v>649</v>
      </c>
      <c r="C13" s="4">
        <f>B13/SUM(Table2[Amount])</f>
        <v>2.0936834634492547E-2</v>
      </c>
    </row>
    <row r="14" spans="1:3" ht="15" thickBot="1" x14ac:dyDescent="0.4">
      <c r="A14" t="s">
        <v>20</v>
      </c>
      <c r="B14" s="3">
        <f>SUMIF(Table2[Category],A14,Table2[Amount])</f>
        <v>320</v>
      </c>
      <c r="C14" s="4">
        <f>B14/SUM(Table2[Amount])</f>
        <v>1.0323246661074908E-2</v>
      </c>
    </row>
    <row r="15" spans="1:3" ht="15" thickTop="1" x14ac:dyDescent="0.35">
      <c r="A15" s="5" t="s">
        <v>31</v>
      </c>
      <c r="B15" s="6">
        <f>SUM(Table2[Amount])</f>
        <v>30998</v>
      </c>
      <c r="C15" s="7">
        <f>SUM(C5:C14)</f>
        <v>0.99999999999999989</v>
      </c>
    </row>
    <row r="17" spans="1:3" x14ac:dyDescent="0.35">
      <c r="A17" s="16" t="s">
        <v>32</v>
      </c>
      <c r="B17" s="16"/>
      <c r="C17" s="16"/>
    </row>
    <row r="18" spans="1:3" x14ac:dyDescent="0.35">
      <c r="A18" s="13" t="str">
        <f>"Total spending is "&amp;TEXT(B15,"₹#,##0")&amp;". The largest category is "&amp;INDEX(A5:A14,MATCH(MAX(B5:B14),B5:B14,0))&amp;" at "&amp;TEXT(MAX(B5:B14),"₹#,##0")&amp;", representing "&amp;TEXT(MAX(B5:B14)/B15,"0.0%")&amp;" of all expenses."</f>
        <v>Total spending is ₹30,998. The largest category is Rent at ₹18,000, representing 58.1% of all expenses.</v>
      </c>
      <c r="B18" s="13"/>
      <c r="C18" s="13"/>
    </row>
    <row r="19" spans="1:3" x14ac:dyDescent="0.35">
      <c r="A19" s="13"/>
      <c r="B19" s="13"/>
      <c r="C19" s="13"/>
    </row>
    <row r="20" spans="1:3" x14ac:dyDescent="0.35">
      <c r="A20" s="13"/>
      <c r="B20" s="13"/>
      <c r="C20" s="13"/>
    </row>
    <row r="22" spans="1:3" x14ac:dyDescent="0.35">
      <c r="A22" s="16" t="s">
        <v>36</v>
      </c>
      <c r="B22" s="16"/>
      <c r="C22" s="16"/>
    </row>
    <row r="23" spans="1:3" x14ac:dyDescent="0.35">
      <c r="A23" s="10">
        <v>1</v>
      </c>
      <c r="B23" s="11" t="s">
        <v>37</v>
      </c>
      <c r="C23" s="11"/>
    </row>
    <row r="24" spans="1:3" x14ac:dyDescent="0.35">
      <c r="A24" s="10">
        <v>2</v>
      </c>
      <c r="B24" s="11" t="s">
        <v>38</v>
      </c>
      <c r="C24" s="11"/>
    </row>
    <row r="25" spans="1:3" x14ac:dyDescent="0.35">
      <c r="A25" s="10">
        <v>3</v>
      </c>
      <c r="B25" s="11" t="s">
        <v>39</v>
      </c>
      <c r="C25" s="11"/>
    </row>
    <row r="27" spans="1:3" ht="16" x14ac:dyDescent="0.4">
      <c r="A27" s="12" t="s">
        <v>40</v>
      </c>
      <c r="B27" s="12"/>
      <c r="C27" s="12"/>
    </row>
    <row r="28" spans="1:3" x14ac:dyDescent="0.35">
      <c r="A28" s="13" t="s">
        <v>41</v>
      </c>
      <c r="B28" s="13"/>
      <c r="C28" s="13"/>
    </row>
    <row r="29" spans="1:3" x14ac:dyDescent="0.35">
      <c r="A29" s="13"/>
      <c r="B29" s="13"/>
      <c r="C29" s="13"/>
    </row>
    <row r="30" spans="1:3" x14ac:dyDescent="0.35">
      <c r="A30" s="13"/>
      <c r="B30" s="13"/>
      <c r="C30" s="13"/>
    </row>
  </sheetData>
  <mergeCells count="10">
    <mergeCell ref="B24:C24"/>
    <mergeCell ref="B25:C25"/>
    <mergeCell ref="A27:C27"/>
    <mergeCell ref="A28:C30"/>
    <mergeCell ref="A1:C1"/>
    <mergeCell ref="A2:C2"/>
    <mergeCell ref="A17:C17"/>
    <mergeCell ref="A18:C20"/>
    <mergeCell ref="A22:C22"/>
    <mergeCell ref="B23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FC4A-26DE-48D1-95DC-D985DA2D4756}">
  <sheetPr codeName="Sheet2"/>
  <dimension ref="N1:W12"/>
  <sheetViews>
    <sheetView tabSelected="1" topLeftCell="L1" workbookViewId="0">
      <selection activeCell="O18" sqref="O18"/>
    </sheetView>
  </sheetViews>
  <sheetFormatPr defaultRowHeight="14.5" x14ac:dyDescent="0.35"/>
  <cols>
    <col min="14" max="14" width="6.7265625" customWidth="1"/>
    <col min="15" max="15" width="12.36328125" bestFit="1" customWidth="1"/>
    <col min="16" max="16" width="12.54296875" customWidth="1"/>
    <col min="17" max="17" width="15.08984375" customWidth="1"/>
    <col min="18" max="18" width="9.36328125" customWidth="1"/>
    <col min="19" max="19" width="8.7265625" customWidth="1"/>
    <col min="20" max="20" width="12.453125" bestFit="1" customWidth="1"/>
    <col min="21" max="21" width="13.6328125" bestFit="1" customWidth="1"/>
    <col min="22" max="23" width="8.7265625" hidden="1" customWidth="1"/>
  </cols>
  <sheetData>
    <row r="1" spans="14:21" x14ac:dyDescent="0.35">
      <c r="N1" t="s">
        <v>0</v>
      </c>
      <c r="O1" t="s">
        <v>1</v>
      </c>
      <c r="P1" t="s">
        <v>2</v>
      </c>
      <c r="Q1" t="s">
        <v>3</v>
      </c>
      <c r="R1" t="s">
        <v>4</v>
      </c>
      <c r="T1" s="8" t="s">
        <v>33</v>
      </c>
      <c r="U1" t="s">
        <v>35</v>
      </c>
    </row>
    <row r="2" spans="14:21" x14ac:dyDescent="0.35">
      <c r="N2" s="1">
        <v>46204</v>
      </c>
      <c r="O2" t="s">
        <v>5</v>
      </c>
      <c r="P2" t="s">
        <v>6</v>
      </c>
      <c r="Q2" t="s">
        <v>7</v>
      </c>
      <c r="R2">
        <v>18000</v>
      </c>
      <c r="T2" s="9" t="s">
        <v>22</v>
      </c>
      <c r="U2">
        <v>2600</v>
      </c>
    </row>
    <row r="3" spans="14:21" x14ac:dyDescent="0.35">
      <c r="N3" s="1">
        <v>46205</v>
      </c>
      <c r="O3" t="s">
        <v>8</v>
      </c>
      <c r="P3" t="s">
        <v>9</v>
      </c>
      <c r="Q3" t="s">
        <v>10</v>
      </c>
      <c r="R3">
        <v>650</v>
      </c>
      <c r="T3" s="9" t="s">
        <v>18</v>
      </c>
      <c r="U3">
        <v>649</v>
      </c>
    </row>
    <row r="4" spans="14:21" x14ac:dyDescent="0.35">
      <c r="N4" s="1">
        <v>46206</v>
      </c>
      <c r="O4" t="s">
        <v>11</v>
      </c>
      <c r="P4" t="s">
        <v>12</v>
      </c>
      <c r="Q4" t="s">
        <v>13</v>
      </c>
      <c r="R4">
        <v>1200</v>
      </c>
      <c r="T4" s="9" t="s">
        <v>8</v>
      </c>
      <c r="U4">
        <v>650</v>
      </c>
    </row>
    <row r="5" spans="14:21" x14ac:dyDescent="0.35">
      <c r="N5" s="1">
        <v>46207</v>
      </c>
      <c r="O5" t="s">
        <v>14</v>
      </c>
      <c r="P5" t="s">
        <v>15</v>
      </c>
      <c r="Q5" t="s">
        <v>10</v>
      </c>
      <c r="R5">
        <v>2400</v>
      </c>
      <c r="T5" s="9" t="s">
        <v>11</v>
      </c>
      <c r="U5">
        <v>1200</v>
      </c>
    </row>
    <row r="6" spans="14:21" x14ac:dyDescent="0.35">
      <c r="N6" s="1">
        <v>46208</v>
      </c>
      <c r="O6" t="s">
        <v>16</v>
      </c>
      <c r="P6" t="s">
        <v>17</v>
      </c>
      <c r="Q6" t="s">
        <v>7</v>
      </c>
      <c r="R6">
        <v>980</v>
      </c>
      <c r="T6" s="9" t="s">
        <v>26</v>
      </c>
      <c r="U6">
        <v>3200</v>
      </c>
    </row>
    <row r="7" spans="14:21" x14ac:dyDescent="0.35">
      <c r="N7" s="1">
        <v>46209</v>
      </c>
      <c r="O7" t="s">
        <v>18</v>
      </c>
      <c r="P7" t="s">
        <v>19</v>
      </c>
      <c r="Q7" t="s">
        <v>10</v>
      </c>
      <c r="R7">
        <v>649</v>
      </c>
      <c r="T7" s="9" t="s">
        <v>24</v>
      </c>
      <c r="U7">
        <v>999</v>
      </c>
    </row>
    <row r="8" spans="14:21" x14ac:dyDescent="0.35">
      <c r="N8" s="1">
        <v>46210</v>
      </c>
      <c r="O8" t="s">
        <v>20</v>
      </c>
      <c r="P8" t="s">
        <v>21</v>
      </c>
      <c r="Q8" t="s">
        <v>13</v>
      </c>
      <c r="R8">
        <v>320</v>
      </c>
      <c r="T8" s="9" t="s">
        <v>16</v>
      </c>
      <c r="U8">
        <v>980</v>
      </c>
    </row>
    <row r="9" spans="14:21" x14ac:dyDescent="0.35">
      <c r="N9" s="1">
        <v>46211</v>
      </c>
      <c r="O9" t="s">
        <v>22</v>
      </c>
      <c r="P9" t="s">
        <v>23</v>
      </c>
      <c r="Q9" t="s">
        <v>7</v>
      </c>
      <c r="R9">
        <v>2600</v>
      </c>
      <c r="T9" s="9" t="s">
        <v>5</v>
      </c>
      <c r="U9">
        <v>18000</v>
      </c>
    </row>
    <row r="10" spans="14:21" x14ac:dyDescent="0.35">
      <c r="N10" s="1">
        <v>46212</v>
      </c>
      <c r="O10" t="s">
        <v>24</v>
      </c>
      <c r="P10" t="s">
        <v>25</v>
      </c>
      <c r="Q10" t="s">
        <v>7</v>
      </c>
      <c r="R10">
        <v>999</v>
      </c>
      <c r="T10" s="9" t="s">
        <v>14</v>
      </c>
      <c r="U10">
        <v>2400</v>
      </c>
    </row>
    <row r="11" spans="14:21" x14ac:dyDescent="0.35">
      <c r="N11" s="1">
        <v>46213</v>
      </c>
      <c r="O11" t="s">
        <v>26</v>
      </c>
      <c r="P11" t="s">
        <v>27</v>
      </c>
      <c r="Q11" t="s">
        <v>10</v>
      </c>
      <c r="R11">
        <v>3200</v>
      </c>
      <c r="T11" s="9" t="s">
        <v>20</v>
      </c>
      <c r="U11">
        <v>320</v>
      </c>
    </row>
    <row r="12" spans="14:21" x14ac:dyDescent="0.35">
      <c r="T12" s="9" t="s">
        <v>34</v>
      </c>
      <c r="U12">
        <v>30998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Expense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2026-08-06T17:09:33Z</dcterms:created>
  <dcterms:modified xsi:type="dcterms:W3CDTF">2026-08-10T16:02:44Z</dcterms:modified>
</cp:coreProperties>
</file>