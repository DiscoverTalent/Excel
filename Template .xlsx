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48EA7765-963B-4E8D-9B7A-79D81845E8D7}" xr6:coauthVersionLast="47" xr6:coauthVersionMax="47" xr10:uidLastSave="{00000000-0000-0000-0000-000000000000}"/>
  <bookViews>
    <workbookView xWindow="-110" yWindow="-110" windowWidth="19420" windowHeight="11500" xr2:uid="{A802CD7F-211A-4573-8ED3-43E7736F144E}"/>
  </bookViews>
  <sheets>
    <sheet name="Credit Card Trans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1" l="1"/>
  <c r="E25" i="1"/>
  <c r="F6" i="1"/>
  <c r="F7" i="1" l="1"/>
  <c r="F8" i="1" l="1"/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/>
</calcChain>
</file>

<file path=xl/sharedStrings.xml><?xml version="1.0" encoding="utf-8"?>
<sst xmlns="http://schemas.openxmlformats.org/spreadsheetml/2006/main" count="67" uniqueCount="58">
  <si>
    <t>Discover Talent Bank Credit Card</t>
  </si>
  <si>
    <t>Bed • Bath • Tub • Cushion Business Expense Tracker</t>
  </si>
  <si>
    <t>Enter expenses as negative amounts and payments/income as positive amounts.</t>
  </si>
  <si>
    <t>Date</t>
  </si>
  <si>
    <t>Description</t>
  </si>
  <si>
    <t>Category</t>
  </si>
  <si>
    <t>Amount</t>
  </si>
  <si>
    <t>Transaction Fee</t>
  </si>
  <si>
    <t>Balance</t>
  </si>
  <si>
    <t xml:space="preserve"> 02-03-2026 </t>
  </si>
  <si>
    <t xml:space="preserve"> Cotton Bedsheet Bulk Purchase </t>
  </si>
  <si>
    <t xml:space="preserve"> Bed </t>
  </si>
  <si>
    <t xml:space="preserve"> 03-03-2026 </t>
  </si>
  <si>
    <t xml:space="preserve"> Bath Towel Set Purchase </t>
  </si>
  <si>
    <t xml:space="preserve"> Bath </t>
  </si>
  <si>
    <t xml:space="preserve"> 04-03-2026 </t>
  </si>
  <si>
    <t xml:space="preserve"> Premium Bathtub Supplier </t>
  </si>
  <si>
    <t xml:space="preserve"> Tub </t>
  </si>
  <si>
    <t xml:space="preserve"> 05-03-2026 </t>
  </si>
  <si>
    <t xml:space="preserve"> Cushion Fabric Roll </t>
  </si>
  <si>
    <t xml:space="preserve"> Cushion </t>
  </si>
  <si>
    <t xml:space="preserve"> 06-03-2026 </t>
  </si>
  <si>
    <t xml:space="preserve"> Online Sale Revenue </t>
  </si>
  <si>
    <t xml:space="preserve"> Sales </t>
  </si>
  <si>
    <t xml:space="preserve"> 07-03-2026 </t>
  </si>
  <si>
    <t xml:space="preserve"> Delivery Charges </t>
  </si>
  <si>
    <t xml:space="preserve"> Logistics </t>
  </si>
  <si>
    <t xml:space="preserve"> 08-03-2026 </t>
  </si>
  <si>
    <t xml:space="preserve"> Shop Rent </t>
  </si>
  <si>
    <t xml:space="preserve"> Expense </t>
  </si>
  <si>
    <t xml:space="preserve"> 09-03-2026 </t>
  </si>
  <si>
    <t xml:space="preserve"> Customer Payment </t>
  </si>
  <si>
    <t xml:space="preserve"> 10-03-2026 </t>
  </si>
  <si>
    <t xml:space="preserve"> Decorative Cushion Covers </t>
  </si>
  <si>
    <t xml:space="preserve"> 11-03-2026 </t>
  </si>
  <si>
    <t xml:space="preserve"> Bathroom Accessories </t>
  </si>
  <si>
    <t xml:space="preserve"> 12-03-2026 </t>
  </si>
  <si>
    <t xml:space="preserve"> Bathtub Cleaning Supplies </t>
  </si>
  <si>
    <t xml:space="preserve"> 13-03-2026 </t>
  </si>
  <si>
    <t xml:space="preserve"> POS Machine Fee </t>
  </si>
  <si>
    <t xml:space="preserve"> Banking </t>
  </si>
  <si>
    <t xml:space="preserve"> 14-03-2026 </t>
  </si>
  <si>
    <t xml:space="preserve"> Weekend Sale Income </t>
  </si>
  <si>
    <t xml:space="preserve"> 15-03-2026 </t>
  </si>
  <si>
    <t xml:space="preserve"> New Bed Display Setup </t>
  </si>
  <si>
    <t xml:space="preserve"> 16-03-2026 </t>
  </si>
  <si>
    <t xml:space="preserve"> Social Media Marketing </t>
  </si>
  <si>
    <t xml:space="preserve"> Marketing </t>
  </si>
  <si>
    <t xml:space="preserve"> 17-03-2026 </t>
  </si>
  <si>
    <t xml:space="preserve"> Cushion Foam Bulk </t>
  </si>
  <si>
    <t xml:space="preserve"> 18-03-2026 </t>
  </si>
  <si>
    <t xml:space="preserve"> Walk-in Customer Payment </t>
  </si>
  <si>
    <t xml:space="preserve"> 19-03-2026 </t>
  </si>
  <si>
    <t xml:space="preserve"> Electricity Bill </t>
  </si>
  <si>
    <t xml:space="preserve"> Utility </t>
  </si>
  <si>
    <t xml:space="preserve"> 20-03-2026 </t>
  </si>
  <si>
    <t xml:space="preserve"> Bank Processing Charges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</si>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</sst>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6"/>
      <name val="Aptos Narrow"/>
      <family val="2"/>
      <scheme val="minor"/>
    </font>
    <font>
      <b/>
      <sz val="28"/>
      <color theme="9" tint="-0.499984740745262"/>
      <name val="Aptos Narrow"/>
      <family val="2"/>
      <scheme val="minor"/>
    </font>
    <font>
      <i/>
      <sz val="11"/>
      <color theme="6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8" fontId="0" fillId="0" borderId="10" xfId="0" applyNumberFormat="1" applyBorder="1"/>
    <xf numFmtId="0" fontId="1" fillId="3" borderId="7" xfId="0" applyFont="1" applyFill="1" applyBorder="1" applyAlignment="1">
      <alignment horizontal="center" vertical="center"/>
    </xf>
    <xf numFmtId="168" fontId="0" fillId="3" borderId="2" xfId="0" applyNumberFormat="1" applyFill="1" applyBorder="1"/>
    <xf numFmtId="168" fontId="0" fillId="3" borderId="10" xfId="0" applyNumberFormat="1" applyFill="1" applyBorder="1"/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_ [$₹-4009]\ * #,##0.00_ ;_ [$₹-4009]\ * \-#,##0.00_ ;_ [$₹-4009]\ * &quot;-&quot;??_ ;_ @_ 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 [$₹-4009]\ * #,##0.00_ ;_ [$₹-4009]\ * \-#,##0.00_ ;_ [$₹-4009]\ * &quot;-&quot;??_ ;_ @_ "/>
      <fill>
        <patternFill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6</xdr:col>
      <xdr:colOff>70224</xdr:colOff>
      <xdr:row>2</xdr:row>
      <xdr:rowOff>137459</xdr:rowOff>
    </xdr:to>
    <xdr:pic>
      <xdr:nvPicPr>
        <xdr:cNvPr id="3" name="Graphic 2" descr="Internet Banking with solid fill">
          <a:extLst>
            <a:ext uri="{FF2B5EF4-FFF2-40B4-BE49-F238E27FC236}">
              <a16:creationId xmlns:a16="http://schemas.microsoft.com/office/drawing/2014/main" id="{9081F865-6ECE-A8D6-6BBA-BA73816D5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12765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B6E29-E8E1-4DF6-A455-CEDF737EA24C}" name="Table1" displayName="Table1" ref="A5:F25" totalsRowCount="1" headerRowDxfId="11" headerRowBorderDxfId="14" tableBorderDxfId="15" totalsRowBorderDxfId="13">
  <autoFilter ref="A5:F24" xr:uid="{B0EB6E29-E8E1-4DF6-A455-CEDF737EA2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848B634-D8D2-4EB8-98CA-A893FEA38E26}" name="Date" totalsRowLabel="Total" dataDxfId="6" totalsRowDxfId="0"/>
    <tableColumn id="2" xr3:uid="{C7B6619D-0346-455C-9F7F-75ACF436418A}" name="Description" dataDxfId="7" totalsRowDxfId="1"/>
    <tableColumn id="3" xr3:uid="{7725FBF5-F2E8-40EE-A06F-37AFBD72CE9A}" name="Category" dataDxfId="8" totalsRowDxfId="2"/>
    <tableColumn id="4" xr3:uid="{5703FD99-A4DC-4290-9E21-C40923C642BC}" name="Amount" totalsRowFunction="sum" dataDxfId="12" totalsRowDxfId="3"/>
    <tableColumn id="5" xr3:uid="{CD6F7576-5C53-45D1-A88D-672D66D93D5E}" name="Transaction Fee" totalsRowFunction="sum" dataDxfId="10" totalsRowDxfId="4"/>
    <tableColumn id="6" xr3:uid="{3377C5D7-D43E-4FE4-B3A4-3DE82F5339A8}" name="Balance" totalsRowFunction="sum" dataDxfId="9" totalsRowDxfId="5">
      <calculatedColumnFormula>F5+D6-E6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61E5-A53D-420A-9AEC-0FAD21BEF5F8}">
  <sheetPr>
    <tabColor rgb="FFFFFF00"/>
  </sheetPr>
  <dimension ref="A1:F25"/>
  <sheetViews>
    <sheetView tabSelected="1" zoomScale="70" zoomScaleNormal="70" workbookViewId="0">
      <selection activeCell="F12" sqref="F12"/>
    </sheetView>
  </sheetViews>
  <sheetFormatPr defaultRowHeight="14.5" x14ac:dyDescent="0.35"/>
  <cols>
    <col min="1" max="1" width="10" customWidth="1"/>
    <col min="2" max="2" width="22.54296875" customWidth="1"/>
    <col min="3" max="3" width="10.1796875" customWidth="1"/>
    <col min="4" max="4" width="12.90625" bestFit="1" customWidth="1"/>
    <col min="5" max="5" width="16" customWidth="1"/>
    <col min="6" max="6" width="12.08984375" bestFit="1" customWidth="1"/>
  </cols>
  <sheetData>
    <row r="1" spans="1:6" ht="40" customHeight="1" x14ac:dyDescent="0.35">
      <c r="A1" s="7" t="s">
        <v>0</v>
      </c>
    </row>
    <row r="2" spans="1:6" ht="21" x14ac:dyDescent="0.5">
      <c r="A2" s="4" t="s">
        <v>1</v>
      </c>
    </row>
    <row r="3" spans="1:6" x14ac:dyDescent="0.35">
      <c r="A3" s="22" t="s">
        <v>2</v>
      </c>
    </row>
    <row r="4" spans="1:6" ht="5" customHeight="1" x14ac:dyDescent="0.35">
      <c r="A4" s="1"/>
      <c r="B4" s="2"/>
      <c r="C4" s="2"/>
      <c r="D4" s="2"/>
      <c r="E4" s="2"/>
      <c r="F4" s="3"/>
    </row>
    <row r="5" spans="1:6" ht="25" customHeight="1" x14ac:dyDescent="0.35">
      <c r="A5" s="8" t="s">
        <v>3</v>
      </c>
      <c r="B5" s="9" t="s">
        <v>4</v>
      </c>
      <c r="C5" s="9" t="s">
        <v>5</v>
      </c>
      <c r="D5" s="9" t="s">
        <v>6</v>
      </c>
      <c r="E5" s="10" t="s">
        <v>7</v>
      </c>
      <c r="F5" s="15" t="s">
        <v>8</v>
      </c>
    </row>
    <row r="6" spans="1:6" ht="25" customHeight="1" x14ac:dyDescent="0.35">
      <c r="A6" s="20" t="s">
        <v>9</v>
      </c>
      <c r="B6" s="18" t="s">
        <v>10</v>
      </c>
      <c r="C6" s="5" t="s">
        <v>11</v>
      </c>
      <c r="D6" s="6">
        <v>-850</v>
      </c>
      <c r="E6" s="6">
        <v>15</v>
      </c>
      <c r="F6" s="16">
        <f>D6-E6</f>
        <v>-865</v>
      </c>
    </row>
    <row r="7" spans="1:6" ht="25" customHeight="1" x14ac:dyDescent="0.35">
      <c r="A7" s="20" t="s">
        <v>12</v>
      </c>
      <c r="B7" s="18" t="s">
        <v>13</v>
      </c>
      <c r="C7" s="5" t="s">
        <v>14</v>
      </c>
      <c r="D7" s="6">
        <v>-620</v>
      </c>
      <c r="E7" s="6">
        <v>10</v>
      </c>
      <c r="F7" s="16">
        <f>F6+D7-E7</f>
        <v>-1495</v>
      </c>
    </row>
    <row r="8" spans="1:6" ht="25" customHeight="1" x14ac:dyDescent="0.35">
      <c r="A8" s="20" t="s">
        <v>15</v>
      </c>
      <c r="B8" s="18" t="s">
        <v>16</v>
      </c>
      <c r="C8" s="5" t="s">
        <v>17</v>
      </c>
      <c r="D8" s="6">
        <v>-1200</v>
      </c>
      <c r="E8" s="6">
        <v>25</v>
      </c>
      <c r="F8" s="16">
        <f t="shared" ref="F8:F24" si="0">F7+D8-E8</f>
        <v>-2720</v>
      </c>
    </row>
    <row r="9" spans="1:6" ht="25" customHeight="1" x14ac:dyDescent="0.35">
      <c r="A9" s="20" t="s">
        <v>18</v>
      </c>
      <c r="B9" s="18" t="s">
        <v>19</v>
      </c>
      <c r="C9" s="5" t="s">
        <v>20</v>
      </c>
      <c r="D9" s="6">
        <v>-540</v>
      </c>
      <c r="E9" s="6">
        <v>12</v>
      </c>
      <c r="F9" s="16">
        <f t="shared" si="0"/>
        <v>-3272</v>
      </c>
    </row>
    <row r="10" spans="1:6" ht="25" customHeight="1" x14ac:dyDescent="0.35">
      <c r="A10" s="20" t="s">
        <v>21</v>
      </c>
      <c r="B10" s="18" t="s">
        <v>22</v>
      </c>
      <c r="C10" s="5" t="s">
        <v>23</v>
      </c>
      <c r="D10" s="6">
        <v>1500</v>
      </c>
      <c r="E10" s="6">
        <v>0</v>
      </c>
      <c r="F10" s="16">
        <f t="shared" si="0"/>
        <v>-1772</v>
      </c>
    </row>
    <row r="11" spans="1:6" ht="25" customHeight="1" x14ac:dyDescent="0.35">
      <c r="A11" s="20" t="s">
        <v>24</v>
      </c>
      <c r="B11" s="18" t="s">
        <v>25</v>
      </c>
      <c r="C11" s="5" t="s">
        <v>26</v>
      </c>
      <c r="D11" s="6">
        <v>-180</v>
      </c>
      <c r="E11" s="6">
        <v>5</v>
      </c>
      <c r="F11" s="16">
        <f t="shared" si="0"/>
        <v>-1957</v>
      </c>
    </row>
    <row r="12" spans="1:6" ht="25" customHeight="1" x14ac:dyDescent="0.35">
      <c r="A12" s="20" t="s">
        <v>27</v>
      </c>
      <c r="B12" s="18" t="s">
        <v>28</v>
      </c>
      <c r="C12" s="5" t="s">
        <v>29</v>
      </c>
      <c r="D12" s="6">
        <v>-1000</v>
      </c>
      <c r="E12" s="6">
        <v>0</v>
      </c>
      <c r="F12" s="16">
        <f t="shared" si="0"/>
        <v>-2957</v>
      </c>
    </row>
    <row r="13" spans="1:6" ht="25" customHeight="1" x14ac:dyDescent="0.35">
      <c r="A13" s="20" t="s">
        <v>30</v>
      </c>
      <c r="B13" s="18" t="s">
        <v>31</v>
      </c>
      <c r="C13" s="5" t="s">
        <v>23</v>
      </c>
      <c r="D13" s="6">
        <v>900</v>
      </c>
      <c r="E13" s="6">
        <v>0</v>
      </c>
      <c r="F13" s="16">
        <f t="shared" si="0"/>
        <v>-2057</v>
      </c>
    </row>
    <row r="14" spans="1:6" ht="25" customHeight="1" x14ac:dyDescent="0.35">
      <c r="A14" s="20" t="s">
        <v>32</v>
      </c>
      <c r="B14" s="18" t="s">
        <v>33</v>
      </c>
      <c r="C14" s="5" t="s">
        <v>20</v>
      </c>
      <c r="D14" s="6">
        <v>-430</v>
      </c>
      <c r="E14" s="6">
        <v>8</v>
      </c>
      <c r="F14" s="16">
        <f t="shared" si="0"/>
        <v>-2495</v>
      </c>
    </row>
    <row r="15" spans="1:6" ht="25" customHeight="1" x14ac:dyDescent="0.35">
      <c r="A15" s="20" t="s">
        <v>34</v>
      </c>
      <c r="B15" s="18" t="s">
        <v>35</v>
      </c>
      <c r="C15" s="5" t="s">
        <v>14</v>
      </c>
      <c r="D15" s="6">
        <v>-300</v>
      </c>
      <c r="E15" s="6">
        <v>6</v>
      </c>
      <c r="F15" s="16">
        <f t="shared" si="0"/>
        <v>-2801</v>
      </c>
    </row>
    <row r="16" spans="1:6" ht="25" customHeight="1" x14ac:dyDescent="0.35">
      <c r="A16" s="20" t="s">
        <v>36</v>
      </c>
      <c r="B16" s="18" t="s">
        <v>37</v>
      </c>
      <c r="C16" s="5" t="s">
        <v>17</v>
      </c>
      <c r="D16" s="6">
        <v>-220</v>
      </c>
      <c r="E16" s="6">
        <v>4</v>
      </c>
      <c r="F16" s="16">
        <f t="shared" si="0"/>
        <v>-3025</v>
      </c>
    </row>
    <row r="17" spans="1:6" ht="25" customHeight="1" x14ac:dyDescent="0.35">
      <c r="A17" s="20" t="s">
        <v>38</v>
      </c>
      <c r="B17" s="18" t="s">
        <v>39</v>
      </c>
      <c r="C17" s="5" t="s">
        <v>40</v>
      </c>
      <c r="D17" s="6">
        <v>-150</v>
      </c>
      <c r="E17" s="6">
        <v>0</v>
      </c>
      <c r="F17" s="16">
        <f t="shared" si="0"/>
        <v>-3175</v>
      </c>
    </row>
    <row r="18" spans="1:6" ht="25" customHeight="1" x14ac:dyDescent="0.35">
      <c r="A18" s="20" t="s">
        <v>41</v>
      </c>
      <c r="B18" s="18" t="s">
        <v>42</v>
      </c>
      <c r="C18" s="5" t="s">
        <v>23</v>
      </c>
      <c r="D18" s="6">
        <v>1800</v>
      </c>
      <c r="E18" s="6">
        <v>0</v>
      </c>
      <c r="F18" s="16">
        <f t="shared" si="0"/>
        <v>-1375</v>
      </c>
    </row>
    <row r="19" spans="1:6" ht="25" customHeight="1" x14ac:dyDescent="0.35">
      <c r="A19" s="20" t="s">
        <v>43</v>
      </c>
      <c r="B19" s="18" t="s">
        <v>44</v>
      </c>
      <c r="C19" s="5" t="s">
        <v>11</v>
      </c>
      <c r="D19" s="6">
        <v>-750</v>
      </c>
      <c r="E19" s="6">
        <v>10</v>
      </c>
      <c r="F19" s="16">
        <f t="shared" si="0"/>
        <v>-2135</v>
      </c>
    </row>
    <row r="20" spans="1:6" ht="25" customHeight="1" x14ac:dyDescent="0.35">
      <c r="A20" s="20" t="s">
        <v>45</v>
      </c>
      <c r="B20" s="18" t="s">
        <v>46</v>
      </c>
      <c r="C20" s="5" t="s">
        <v>47</v>
      </c>
      <c r="D20" s="6">
        <v>-400</v>
      </c>
      <c r="E20" s="6">
        <v>0</v>
      </c>
      <c r="F20" s="16">
        <f t="shared" si="0"/>
        <v>-2535</v>
      </c>
    </row>
    <row r="21" spans="1:6" ht="25" customHeight="1" x14ac:dyDescent="0.35">
      <c r="A21" s="20" t="s">
        <v>48</v>
      </c>
      <c r="B21" s="18" t="s">
        <v>49</v>
      </c>
      <c r="C21" s="5" t="s">
        <v>20</v>
      </c>
      <c r="D21" s="6">
        <v>-680</v>
      </c>
      <c r="E21" s="6">
        <v>15</v>
      </c>
      <c r="F21" s="16">
        <f t="shared" si="0"/>
        <v>-3230</v>
      </c>
    </row>
    <row r="22" spans="1:6" ht="25" customHeight="1" x14ac:dyDescent="0.35">
      <c r="A22" s="20" t="s">
        <v>50</v>
      </c>
      <c r="B22" s="18" t="s">
        <v>51</v>
      </c>
      <c r="C22" s="5" t="s">
        <v>23</v>
      </c>
      <c r="D22" s="6">
        <v>1100</v>
      </c>
      <c r="E22" s="6">
        <v>0</v>
      </c>
      <c r="F22" s="16">
        <f t="shared" si="0"/>
        <v>-2130</v>
      </c>
    </row>
    <row r="23" spans="1:6" ht="25" customHeight="1" x14ac:dyDescent="0.35">
      <c r="A23" s="20" t="s">
        <v>52</v>
      </c>
      <c r="B23" s="18" t="s">
        <v>53</v>
      </c>
      <c r="C23" s="5" t="s">
        <v>54</v>
      </c>
      <c r="D23" s="6">
        <v>-350</v>
      </c>
      <c r="E23" s="6">
        <v>0</v>
      </c>
      <c r="F23" s="16">
        <f t="shared" si="0"/>
        <v>-2480</v>
      </c>
    </row>
    <row r="24" spans="1:6" ht="25" customHeight="1" x14ac:dyDescent="0.35">
      <c r="A24" s="21" t="s">
        <v>55</v>
      </c>
      <c r="B24" s="19" t="s">
        <v>56</v>
      </c>
      <c r="C24" s="12" t="s">
        <v>40</v>
      </c>
      <c r="D24" s="13">
        <v>-120</v>
      </c>
      <c r="E24" s="13">
        <v>0</v>
      </c>
      <c r="F24" s="17">
        <f t="shared" si="0"/>
        <v>-2600</v>
      </c>
    </row>
    <row r="25" spans="1:6" x14ac:dyDescent="0.35">
      <c r="A25" s="11" t="s">
        <v>57</v>
      </c>
      <c r="B25" s="12"/>
      <c r="C25" s="12"/>
      <c r="D25" s="13">
        <f>SUBTOTAL(109,Table1[Amount])</f>
        <v>-2490</v>
      </c>
      <c r="E25" s="13">
        <f>SUBTOTAL(109,Table1[Transaction Fee])</f>
        <v>110</v>
      </c>
      <c r="F25" s="14">
        <f>SUBTOTAL(109,Table1[Balance])</f>
        <v>-45076</v>
      </c>
    </row>
  </sheetData>
  <mergeCells count="1">
    <mergeCell ref="A4:F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2026-02-23T16:43:48Z</dcterms:created>
  <dcterms:modified xsi:type="dcterms:W3CDTF">2026-02-24T11:27:59Z</dcterms:modified>
</cp:coreProperties>
</file>